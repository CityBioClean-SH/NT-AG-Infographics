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816"/>
  <workbookPr codeName="ThisWorkbook" autoCompressPictures="0"/>
  <bookViews>
    <workbookView xWindow="0" yWindow="0" windowWidth="25600" windowHeight="16060" tabRatio="980" firstSheet="18" activeTab="31"/>
  </bookViews>
  <sheets>
    <sheet name="Cover" sheetId="30" r:id="rId1"/>
    <sheet name="Sections Per Region" sheetId="33" r:id="rId2"/>
    <sheet name="Stats" sheetId="32" r:id="rId3"/>
    <sheet name="Top 25" sheetId="1" r:id="rId4"/>
    <sheet name="Abilene" sheetId="2" r:id="rId5"/>
    <sheet name="Brazos Valley" sheetId="3" r:id="rId6"/>
    <sheet name="Corsicana" sheetId="4" r:id="rId7"/>
    <sheet name="Cross Timbers" sheetId="5" r:id="rId8"/>
    <sheet name="Denton" sheetId="6" r:id="rId9"/>
    <sheet name="Greenville" sheetId="7" r:id="rId10"/>
    <sheet name="Longview" sheetId="8" r:id="rId11"/>
    <sheet name="Lufkin" sheetId="9" r:id="rId12"/>
    <sheet name="Mesquite" sheetId="10" r:id="rId13"/>
    <sheet name="Mid Cities" sheetId="11" r:id="rId14"/>
    <sheet name="Nacoqdoches" sheetId="12" r:id="rId15"/>
    <sheet name="North Austin" sheetId="13" r:id="rId16"/>
    <sheet name="North Dallas" sheetId="14" r:id="rId17"/>
    <sheet name="North East Fort Worth" sheetId="15" r:id="rId18"/>
    <sheet name="North West Forth Worth" sheetId="16" r:id="rId19"/>
    <sheet name="Plano" sheetId="17" r:id="rId20"/>
    <sheet name="Red River" sheetId="18" r:id="rId21"/>
    <sheet name="Rockwall" sheetId="19" r:id="rId22"/>
    <sheet name="San Angelo" sheetId="20" r:id="rId23"/>
    <sheet name="South Austin" sheetId="21" r:id="rId24"/>
    <sheet name="South Dallas" sheetId="22" r:id="rId25"/>
    <sheet name="South Fort Worth" sheetId="23" r:id="rId26"/>
    <sheet name="Texarkana" sheetId="24" r:id="rId27"/>
    <sheet name="Trinity Valley" sheetId="25" r:id="rId28"/>
    <sheet name="Tyler" sheetId="26" r:id="rId29"/>
    <sheet name="Waco" sheetId="27" r:id="rId30"/>
    <sheet name="Waxahachie" sheetId="28" r:id="rId31"/>
    <sheet name="Wichita Falls" sheetId="29" r:id="rId32"/>
  </sheets>
  <definedNames>
    <definedName name="_xlnm.Print_Area" localSheetId="0">Cover!$A$1:$R$42</definedName>
    <definedName name="_xlnm.Print_Area" localSheetId="3">'Top 25'!$D$1:$S$69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5" i="29" l="1"/>
  <c r="H5" i="29"/>
  <c r="J32" i="29"/>
  <c r="J26" i="28"/>
  <c r="J31" i="27"/>
  <c r="J35" i="26"/>
  <c r="J29" i="25"/>
  <c r="J30" i="24"/>
  <c r="J31" i="23"/>
  <c r="J28" i="22"/>
  <c r="J26" i="21"/>
  <c r="J26" i="20"/>
  <c r="J18" i="19"/>
  <c r="J24" i="18"/>
  <c r="J24" i="17"/>
  <c r="J21" i="16"/>
  <c r="J21" i="15"/>
  <c r="J31" i="14"/>
  <c r="J27" i="13"/>
  <c r="J23" i="12"/>
  <c r="J29" i="11"/>
  <c r="J28" i="10"/>
  <c r="J25" i="9"/>
  <c r="J35" i="8"/>
  <c r="J29" i="7"/>
  <c r="J27" i="6"/>
  <c r="J30" i="5"/>
  <c r="J20" i="4"/>
  <c r="J22" i="3"/>
  <c r="J26" i="2"/>
  <c r="J29" i="29"/>
  <c r="K29" i="29"/>
  <c r="L29" i="29"/>
  <c r="M29" i="29"/>
  <c r="N29" i="29"/>
  <c r="O29" i="29"/>
  <c r="P29" i="29"/>
  <c r="Q29" i="29"/>
  <c r="R29" i="29"/>
  <c r="S29" i="29"/>
  <c r="J23" i="28"/>
  <c r="K23" i="28"/>
  <c r="L23" i="28"/>
  <c r="M23" i="28"/>
  <c r="N23" i="28"/>
  <c r="O23" i="28"/>
  <c r="P23" i="28"/>
  <c r="Q23" i="28"/>
  <c r="R23" i="28"/>
  <c r="S23" i="28"/>
  <c r="J28" i="27"/>
  <c r="K28" i="27"/>
  <c r="L28" i="27"/>
  <c r="M28" i="27"/>
  <c r="N28" i="27"/>
  <c r="O28" i="27"/>
  <c r="P28" i="27"/>
  <c r="Q28" i="27"/>
  <c r="R28" i="27"/>
  <c r="S28" i="27"/>
  <c r="J32" i="26"/>
  <c r="K32" i="26"/>
  <c r="L32" i="26"/>
  <c r="M32" i="26"/>
  <c r="N32" i="26"/>
  <c r="O32" i="26"/>
  <c r="P32" i="26"/>
  <c r="Q32" i="26"/>
  <c r="R32" i="26"/>
  <c r="S32" i="26"/>
  <c r="J26" i="25"/>
  <c r="K26" i="25"/>
  <c r="L26" i="25"/>
  <c r="M26" i="25"/>
  <c r="N26" i="25"/>
  <c r="O26" i="25"/>
  <c r="P26" i="25"/>
  <c r="Q26" i="25"/>
  <c r="R26" i="25"/>
  <c r="S26" i="25"/>
  <c r="J27" i="24"/>
  <c r="K27" i="24"/>
  <c r="L27" i="24"/>
  <c r="M27" i="24"/>
  <c r="N27" i="24"/>
  <c r="O27" i="24"/>
  <c r="P27" i="24"/>
  <c r="Q27" i="24"/>
  <c r="R27" i="24"/>
  <c r="S27" i="24"/>
  <c r="J28" i="23"/>
  <c r="K28" i="23"/>
  <c r="L28" i="23"/>
  <c r="M28" i="23"/>
  <c r="N28" i="23"/>
  <c r="O28" i="23"/>
  <c r="P28" i="23"/>
  <c r="Q28" i="23"/>
  <c r="R28" i="23"/>
  <c r="S28" i="23"/>
  <c r="J25" i="22"/>
  <c r="K25" i="22"/>
  <c r="L25" i="22"/>
  <c r="M25" i="22"/>
  <c r="N25" i="22"/>
  <c r="O25" i="22"/>
  <c r="P25" i="22"/>
  <c r="Q25" i="22"/>
  <c r="R25" i="22"/>
  <c r="S25" i="22"/>
  <c r="J23" i="21"/>
  <c r="K23" i="21"/>
  <c r="L23" i="21"/>
  <c r="M23" i="21"/>
  <c r="N23" i="21"/>
  <c r="O23" i="21"/>
  <c r="P23" i="21"/>
  <c r="Q23" i="21"/>
  <c r="R23" i="21"/>
  <c r="S23" i="21"/>
  <c r="J23" i="20"/>
  <c r="K23" i="20"/>
  <c r="L23" i="20"/>
  <c r="M23" i="20"/>
  <c r="N23" i="20"/>
  <c r="O23" i="20"/>
  <c r="P23" i="20"/>
  <c r="Q23" i="20"/>
  <c r="R23" i="20"/>
  <c r="S23" i="20"/>
  <c r="J15" i="19"/>
  <c r="K15" i="19"/>
  <c r="L15" i="19"/>
  <c r="M15" i="19"/>
  <c r="N15" i="19"/>
  <c r="O15" i="19"/>
  <c r="P15" i="19"/>
  <c r="Q15" i="19"/>
  <c r="R15" i="19"/>
  <c r="S15" i="19"/>
  <c r="J21" i="18"/>
  <c r="K21" i="18"/>
  <c r="L21" i="18"/>
  <c r="M21" i="18"/>
  <c r="N21" i="18"/>
  <c r="O21" i="18"/>
  <c r="P21" i="18"/>
  <c r="Q21" i="18"/>
  <c r="R21" i="18"/>
  <c r="S21" i="18"/>
  <c r="J21" i="17"/>
  <c r="K21" i="17"/>
  <c r="L21" i="17"/>
  <c r="M21" i="17"/>
  <c r="N21" i="17"/>
  <c r="O21" i="17"/>
  <c r="P21" i="17"/>
  <c r="Q21" i="17"/>
  <c r="R21" i="17"/>
  <c r="S21" i="17"/>
  <c r="J18" i="16"/>
  <c r="K18" i="16"/>
  <c r="L18" i="16"/>
  <c r="M18" i="16"/>
  <c r="N18" i="16"/>
  <c r="O18" i="16"/>
  <c r="P18" i="16"/>
  <c r="Q18" i="16"/>
  <c r="R18" i="16"/>
  <c r="S18" i="16"/>
  <c r="J18" i="15"/>
  <c r="K18" i="15"/>
  <c r="L18" i="15"/>
  <c r="M18" i="15"/>
  <c r="N18" i="15"/>
  <c r="O18" i="15"/>
  <c r="P18" i="15"/>
  <c r="Q18" i="15"/>
  <c r="R18" i="15"/>
  <c r="S18" i="15"/>
  <c r="J28" i="14"/>
  <c r="K28" i="14"/>
  <c r="L28" i="14"/>
  <c r="M28" i="14"/>
  <c r="N28" i="14"/>
  <c r="O28" i="14"/>
  <c r="P28" i="14"/>
  <c r="Q28" i="14"/>
  <c r="R28" i="14"/>
  <c r="S28" i="14"/>
  <c r="J24" i="13"/>
  <c r="K24" i="13"/>
  <c r="L24" i="13"/>
  <c r="M24" i="13"/>
  <c r="N24" i="13"/>
  <c r="O24" i="13"/>
  <c r="P24" i="13"/>
  <c r="Q24" i="13"/>
  <c r="R24" i="13"/>
  <c r="S24" i="13"/>
  <c r="J20" i="12"/>
  <c r="K20" i="12"/>
  <c r="L20" i="12"/>
  <c r="M20" i="12"/>
  <c r="N20" i="12"/>
  <c r="O20" i="12"/>
  <c r="P20" i="12"/>
  <c r="Q20" i="12"/>
  <c r="R20" i="12"/>
  <c r="S20" i="12"/>
  <c r="J26" i="11"/>
  <c r="K26" i="11"/>
  <c r="L26" i="11"/>
  <c r="M26" i="11"/>
  <c r="N26" i="11"/>
  <c r="O26" i="11"/>
  <c r="P26" i="11"/>
  <c r="Q26" i="11"/>
  <c r="R26" i="11"/>
  <c r="S26" i="11"/>
  <c r="J25" i="10"/>
  <c r="K25" i="10"/>
  <c r="L25" i="10"/>
  <c r="M25" i="10"/>
  <c r="N25" i="10"/>
  <c r="O25" i="10"/>
  <c r="P25" i="10"/>
  <c r="Q25" i="10"/>
  <c r="R25" i="10"/>
  <c r="S25" i="10"/>
  <c r="J22" i="9"/>
  <c r="K22" i="9"/>
  <c r="L22" i="9"/>
  <c r="M22" i="9"/>
  <c r="N22" i="9"/>
  <c r="O22" i="9"/>
  <c r="P22" i="9"/>
  <c r="Q22" i="9"/>
  <c r="R22" i="9"/>
  <c r="S22" i="9"/>
  <c r="J32" i="8"/>
  <c r="K32" i="8"/>
  <c r="L32" i="8"/>
  <c r="M32" i="8"/>
  <c r="N32" i="8"/>
  <c r="O32" i="8"/>
  <c r="P32" i="8"/>
  <c r="Q32" i="8"/>
  <c r="R32" i="8"/>
  <c r="S32" i="8"/>
  <c r="J26" i="7"/>
  <c r="K26" i="7"/>
  <c r="L26" i="7"/>
  <c r="M26" i="7"/>
  <c r="N26" i="7"/>
  <c r="O26" i="7"/>
  <c r="P26" i="7"/>
  <c r="Q26" i="7"/>
  <c r="R26" i="7"/>
  <c r="S26" i="7"/>
  <c r="J24" i="6"/>
  <c r="K24" i="6"/>
  <c r="L24" i="6"/>
  <c r="M24" i="6"/>
  <c r="N24" i="6"/>
  <c r="O24" i="6"/>
  <c r="P24" i="6"/>
  <c r="Q24" i="6"/>
  <c r="R24" i="6"/>
  <c r="S24" i="6"/>
  <c r="J27" i="5"/>
  <c r="K27" i="5"/>
  <c r="L27" i="5"/>
  <c r="M27" i="5"/>
  <c r="N27" i="5"/>
  <c r="O27" i="5"/>
  <c r="P27" i="5"/>
  <c r="Q27" i="5"/>
  <c r="R27" i="5"/>
  <c r="S27" i="5"/>
  <c r="J17" i="4"/>
  <c r="K17" i="4"/>
  <c r="L17" i="4"/>
  <c r="M17" i="4"/>
  <c r="N17" i="4"/>
  <c r="O17" i="4"/>
  <c r="P17" i="4"/>
  <c r="Q17" i="4"/>
  <c r="R17" i="4"/>
  <c r="S17" i="4"/>
  <c r="J19" i="3"/>
  <c r="K19" i="3"/>
  <c r="L19" i="3"/>
  <c r="M19" i="3"/>
  <c r="N19" i="3"/>
  <c r="O19" i="3"/>
  <c r="P19" i="3"/>
  <c r="Q19" i="3"/>
  <c r="R19" i="3"/>
  <c r="S19" i="3"/>
  <c r="K23" i="2"/>
  <c r="L23" i="2"/>
  <c r="M23" i="2"/>
  <c r="N23" i="2"/>
  <c r="O23" i="2"/>
  <c r="P23" i="2"/>
  <c r="Q23" i="2"/>
  <c r="R23" i="2"/>
  <c r="S23" i="2"/>
  <c r="J23" i="2"/>
  <c r="J30" i="29"/>
  <c r="J24" i="28"/>
  <c r="J29" i="27"/>
  <c r="H7" i="26"/>
  <c r="J34" i="26"/>
  <c r="J33" i="26"/>
  <c r="J29" i="24"/>
  <c r="J26" i="22"/>
  <c r="J27" i="22"/>
  <c r="J25" i="20"/>
  <c r="J17" i="19"/>
  <c r="J16" i="19"/>
  <c r="J25" i="13"/>
  <c r="J21" i="12"/>
  <c r="J22" i="12"/>
  <c r="J27" i="11"/>
  <c r="J28" i="11"/>
  <c r="J27" i="10"/>
  <c r="J24" i="9"/>
  <c r="J27" i="7"/>
  <c r="J28" i="5"/>
  <c r="J19" i="4"/>
  <c r="J18" i="4"/>
  <c r="J21" i="3"/>
  <c r="J20" i="3"/>
  <c r="I13" i="32"/>
  <c r="J31" i="29"/>
  <c r="J25" i="28"/>
  <c r="J30" i="27"/>
  <c r="J28" i="25"/>
  <c r="J27" i="25"/>
  <c r="J28" i="24"/>
  <c r="J30" i="23"/>
  <c r="J29" i="23"/>
  <c r="J25" i="21"/>
  <c r="J24" i="21"/>
  <c r="J24" i="20"/>
  <c r="J23" i="18"/>
  <c r="J22" i="18"/>
  <c r="J23" i="17"/>
  <c r="J22" i="17"/>
  <c r="J20" i="16"/>
  <c r="J19" i="16"/>
  <c r="J20" i="15"/>
  <c r="J19" i="15"/>
  <c r="J30" i="14"/>
  <c r="J29" i="14"/>
  <c r="J26" i="13"/>
  <c r="J26" i="10"/>
  <c r="J23" i="9"/>
  <c r="J34" i="8"/>
  <c r="J33" i="8"/>
  <c r="J28" i="7"/>
  <c r="J26" i="6"/>
  <c r="J25" i="6"/>
  <c r="J29" i="5"/>
  <c r="D9" i="32"/>
  <c r="D29" i="29"/>
  <c r="D23" i="28"/>
  <c r="D28" i="27"/>
  <c r="D32" i="26"/>
  <c r="D26" i="25"/>
  <c r="D27" i="24"/>
  <c r="D28" i="23"/>
  <c r="D25" i="22"/>
  <c r="D23" i="21"/>
  <c r="D23" i="20"/>
  <c r="D15" i="19"/>
  <c r="D21" i="18"/>
  <c r="D21" i="17"/>
  <c r="D18" i="16"/>
  <c r="D18" i="15"/>
  <c r="D28" i="14"/>
  <c r="D24" i="13"/>
  <c r="D20" i="12"/>
  <c r="D26" i="11"/>
  <c r="D25" i="10"/>
  <c r="D22" i="9"/>
  <c r="D32" i="8"/>
  <c r="D26" i="7"/>
  <c r="D24" i="6"/>
  <c r="D27" i="5"/>
  <c r="D17" i="4"/>
  <c r="D19" i="3"/>
  <c r="D23" i="2"/>
  <c r="I22" i="13"/>
  <c r="I23" i="13"/>
  <c r="H23" i="13"/>
  <c r="I23" i="6"/>
  <c r="H23" i="6"/>
  <c r="H6" i="2"/>
  <c r="I6" i="2"/>
  <c r="H7" i="2"/>
  <c r="I7" i="2"/>
  <c r="H10" i="2"/>
  <c r="I10" i="2"/>
  <c r="H11" i="2"/>
  <c r="I11" i="2"/>
  <c r="H14" i="2"/>
  <c r="I14" i="2"/>
  <c r="H15" i="2"/>
  <c r="I15" i="2"/>
  <c r="H18" i="2"/>
  <c r="I18" i="2"/>
  <c r="H19" i="2"/>
  <c r="I19" i="2"/>
  <c r="I23" i="29"/>
  <c r="I24" i="29"/>
  <c r="I25" i="29"/>
  <c r="I26" i="29"/>
  <c r="I27" i="29"/>
  <c r="I28" i="29"/>
  <c r="H23" i="29"/>
  <c r="H24" i="29"/>
  <c r="H25" i="29"/>
  <c r="H26" i="29"/>
  <c r="H27" i="29"/>
  <c r="H28" i="29"/>
  <c r="E3" i="29"/>
  <c r="E2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5" i="29"/>
  <c r="E3" i="28"/>
  <c r="E2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1" i="28"/>
  <c r="H22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H5" i="28"/>
  <c r="I5" i="28"/>
  <c r="I23" i="27"/>
  <c r="I24" i="27"/>
  <c r="I25" i="27"/>
  <c r="I26" i="27"/>
  <c r="I27" i="27"/>
  <c r="H23" i="27"/>
  <c r="H24" i="27"/>
  <c r="H25" i="27"/>
  <c r="H27" i="27"/>
  <c r="E3" i="27"/>
  <c r="E2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H5" i="27"/>
  <c r="I5" i="27"/>
  <c r="I23" i="26"/>
  <c r="I24" i="26"/>
  <c r="I25" i="26"/>
  <c r="I26" i="26"/>
  <c r="I27" i="26"/>
  <c r="I28" i="26"/>
  <c r="I29" i="26"/>
  <c r="I30" i="26"/>
  <c r="I31" i="26"/>
  <c r="H23" i="26"/>
  <c r="H24" i="26"/>
  <c r="H25" i="26"/>
  <c r="H26" i="26"/>
  <c r="H27" i="26"/>
  <c r="H28" i="26"/>
  <c r="H29" i="26"/>
  <c r="H30" i="26"/>
  <c r="H31" i="26"/>
  <c r="E3" i="26"/>
  <c r="E2" i="26"/>
  <c r="H6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H5" i="26"/>
  <c r="I5" i="26"/>
  <c r="I23" i="25"/>
  <c r="I24" i="25"/>
  <c r="I25" i="25"/>
  <c r="H23" i="25"/>
  <c r="H24" i="25"/>
  <c r="H25" i="25"/>
  <c r="E3" i="25"/>
  <c r="E2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H5" i="25"/>
  <c r="I5" i="25"/>
  <c r="I23" i="24"/>
  <c r="I24" i="24"/>
  <c r="I25" i="24"/>
  <c r="I26" i="24"/>
  <c r="H23" i="24"/>
  <c r="H24" i="24"/>
  <c r="H25" i="24"/>
  <c r="H26" i="24"/>
  <c r="E3" i="24"/>
  <c r="E2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H5" i="24"/>
  <c r="I5" i="24"/>
  <c r="I23" i="23"/>
  <c r="I24" i="23"/>
  <c r="I25" i="23"/>
  <c r="I26" i="23"/>
  <c r="I27" i="23"/>
  <c r="H23" i="23"/>
  <c r="H24" i="23"/>
  <c r="H27" i="23"/>
  <c r="E3" i="23"/>
  <c r="E2" i="23"/>
  <c r="H6" i="23"/>
  <c r="H7" i="23"/>
  <c r="H8" i="23"/>
  <c r="H9" i="23"/>
  <c r="H10" i="23"/>
  <c r="H11" i="23"/>
  <c r="H12" i="23"/>
  <c r="H13" i="23"/>
  <c r="H14" i="23"/>
  <c r="H15" i="23"/>
  <c r="H16" i="23"/>
  <c r="H18" i="23"/>
  <c r="H19" i="23"/>
  <c r="H20" i="23"/>
  <c r="H21" i="23"/>
  <c r="H22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H5" i="23"/>
  <c r="I5" i="23"/>
  <c r="I22" i="22"/>
  <c r="I23" i="22"/>
  <c r="I24" i="22"/>
  <c r="H23" i="22"/>
  <c r="H24" i="22"/>
  <c r="E3" i="22"/>
  <c r="E2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H5" i="22"/>
  <c r="I5" i="22"/>
  <c r="E3" i="21"/>
  <c r="E2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H5" i="21"/>
  <c r="I5" i="21"/>
  <c r="E3" i="20"/>
  <c r="E2" i="20"/>
  <c r="H6" i="20"/>
  <c r="H7" i="20"/>
  <c r="H8" i="20"/>
  <c r="H9" i="20"/>
  <c r="H10" i="20"/>
  <c r="H11" i="20"/>
  <c r="H12" i="20"/>
  <c r="H13" i="20"/>
  <c r="H15" i="20"/>
  <c r="H16" i="20"/>
  <c r="H17" i="20"/>
  <c r="H18" i="20"/>
  <c r="H19" i="20"/>
  <c r="H20" i="20"/>
  <c r="H21" i="20"/>
  <c r="H22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H5" i="20"/>
  <c r="I5" i="20"/>
  <c r="E3" i="19"/>
  <c r="E2" i="19"/>
  <c r="H6" i="19"/>
  <c r="H7" i="19"/>
  <c r="H8" i="19"/>
  <c r="H12" i="19"/>
  <c r="H13" i="19"/>
  <c r="H14" i="19"/>
  <c r="I6" i="19"/>
  <c r="I7" i="19"/>
  <c r="I8" i="19"/>
  <c r="I9" i="19"/>
  <c r="I10" i="19"/>
  <c r="I11" i="19"/>
  <c r="I12" i="19"/>
  <c r="I13" i="19"/>
  <c r="I14" i="19"/>
  <c r="H5" i="19"/>
  <c r="I5" i="19"/>
  <c r="E3" i="18"/>
  <c r="E2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H5" i="18"/>
  <c r="I5" i="18"/>
  <c r="E3" i="17"/>
  <c r="E2" i="17"/>
  <c r="H6" i="17"/>
  <c r="H7" i="17"/>
  <c r="H8" i="17"/>
  <c r="H9" i="17"/>
  <c r="H10" i="17"/>
  <c r="H11" i="17"/>
  <c r="H12" i="17"/>
  <c r="H13" i="17"/>
  <c r="H16" i="17"/>
  <c r="H17" i="17"/>
  <c r="H18" i="17"/>
  <c r="H19" i="17"/>
  <c r="H20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H5" i="17"/>
  <c r="I5" i="17"/>
  <c r="E3" i="16"/>
  <c r="E2" i="16"/>
  <c r="H6" i="16"/>
  <c r="H7" i="16"/>
  <c r="H8" i="16"/>
  <c r="H9" i="16"/>
  <c r="H10" i="16"/>
  <c r="H11" i="16"/>
  <c r="H12" i="16"/>
  <c r="H13" i="16"/>
  <c r="H14" i="16"/>
  <c r="H15" i="16"/>
  <c r="H16" i="16"/>
  <c r="H17" i="16"/>
  <c r="I6" i="16"/>
  <c r="I7" i="16"/>
  <c r="I8" i="16"/>
  <c r="I9" i="16"/>
  <c r="I10" i="16"/>
  <c r="I11" i="16"/>
  <c r="I12" i="16"/>
  <c r="I13" i="16"/>
  <c r="I14" i="16"/>
  <c r="I15" i="16"/>
  <c r="I16" i="16"/>
  <c r="I17" i="16"/>
  <c r="H5" i="16"/>
  <c r="I5" i="16"/>
  <c r="E3" i="15"/>
  <c r="E2" i="15"/>
  <c r="H6" i="15"/>
  <c r="H7" i="15"/>
  <c r="H8" i="15"/>
  <c r="H9" i="15"/>
  <c r="H10" i="15"/>
  <c r="H11" i="15"/>
  <c r="H12" i="15"/>
  <c r="H13" i="15"/>
  <c r="H14" i="15"/>
  <c r="H15" i="15"/>
  <c r="H16" i="15"/>
  <c r="H17" i="15"/>
  <c r="I6" i="15"/>
  <c r="I7" i="15"/>
  <c r="I8" i="15"/>
  <c r="I9" i="15"/>
  <c r="I10" i="15"/>
  <c r="I11" i="15"/>
  <c r="I12" i="15"/>
  <c r="I13" i="15"/>
  <c r="I14" i="15"/>
  <c r="I15" i="15"/>
  <c r="I16" i="15"/>
  <c r="I17" i="15"/>
  <c r="H5" i="15"/>
  <c r="I5" i="15"/>
  <c r="I20" i="14"/>
  <c r="I21" i="14"/>
  <c r="I22" i="14"/>
  <c r="I23" i="14"/>
  <c r="I24" i="14"/>
  <c r="I25" i="14"/>
  <c r="I26" i="14"/>
  <c r="I27" i="14"/>
  <c r="H24" i="14"/>
  <c r="H25" i="14"/>
  <c r="H26" i="14"/>
  <c r="H27" i="14"/>
  <c r="E3" i="14"/>
  <c r="E2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H5" i="14"/>
  <c r="I5" i="14"/>
  <c r="E3" i="13"/>
  <c r="E2" i="13"/>
  <c r="H6" i="13"/>
  <c r="H7" i="13"/>
  <c r="H8" i="13"/>
  <c r="H9" i="13"/>
  <c r="H10" i="13"/>
  <c r="H11" i="13"/>
  <c r="H12" i="13"/>
  <c r="H13" i="13"/>
  <c r="H14" i="13"/>
  <c r="H15" i="13"/>
  <c r="H16" i="13"/>
  <c r="H19" i="13"/>
  <c r="H20" i="13"/>
  <c r="H21" i="13"/>
  <c r="H22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H5" i="13"/>
  <c r="I5" i="13"/>
  <c r="E3" i="12"/>
  <c r="E2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H5" i="12"/>
  <c r="I5" i="12"/>
  <c r="I23" i="11"/>
  <c r="I24" i="11"/>
  <c r="I25" i="11"/>
  <c r="H23" i="11"/>
  <c r="H24" i="11"/>
  <c r="H25" i="11"/>
  <c r="E3" i="11"/>
  <c r="E2" i="11"/>
  <c r="H6" i="11"/>
  <c r="H7" i="11"/>
  <c r="H8" i="11"/>
  <c r="H9" i="11"/>
  <c r="H10" i="11"/>
  <c r="H11" i="11"/>
  <c r="H12" i="11"/>
  <c r="H13" i="11"/>
  <c r="H14" i="11"/>
  <c r="H15" i="11"/>
  <c r="H16" i="11"/>
  <c r="H19" i="11"/>
  <c r="H20" i="11"/>
  <c r="H21" i="11"/>
  <c r="H22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5" i="11"/>
  <c r="I18" i="10"/>
  <c r="I19" i="10"/>
  <c r="I20" i="10"/>
  <c r="I21" i="10"/>
  <c r="I22" i="10"/>
  <c r="I23" i="10"/>
  <c r="I24" i="10"/>
  <c r="H23" i="10"/>
  <c r="E3" i="10"/>
  <c r="E2" i="10"/>
  <c r="H6" i="10"/>
  <c r="H7" i="10"/>
  <c r="H8" i="10"/>
  <c r="H9" i="10"/>
  <c r="H10" i="10"/>
  <c r="H11" i="10"/>
  <c r="H12" i="10"/>
  <c r="H13" i="10"/>
  <c r="H14" i="10"/>
  <c r="H16" i="10"/>
  <c r="H17" i="10"/>
  <c r="H18" i="10"/>
  <c r="H19" i="10"/>
  <c r="H20" i="10"/>
  <c r="H21" i="10"/>
  <c r="I6" i="10"/>
  <c r="I7" i="10"/>
  <c r="I8" i="10"/>
  <c r="I9" i="10"/>
  <c r="I10" i="10"/>
  <c r="I11" i="10"/>
  <c r="I12" i="10"/>
  <c r="I13" i="10"/>
  <c r="I14" i="10"/>
  <c r="I15" i="10"/>
  <c r="I16" i="10"/>
  <c r="I17" i="10"/>
  <c r="H5" i="10"/>
  <c r="I5" i="10"/>
  <c r="E3" i="9"/>
  <c r="E2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H5" i="9"/>
  <c r="I5" i="9"/>
  <c r="I23" i="8"/>
  <c r="I24" i="8"/>
  <c r="I25" i="8"/>
  <c r="I26" i="8"/>
  <c r="I27" i="8"/>
  <c r="I28" i="8"/>
  <c r="I29" i="8"/>
  <c r="I30" i="8"/>
  <c r="I31" i="8"/>
  <c r="H23" i="8"/>
  <c r="H24" i="8"/>
  <c r="H25" i="8"/>
  <c r="H26" i="8"/>
  <c r="H27" i="8"/>
  <c r="H28" i="8"/>
  <c r="H29" i="8"/>
  <c r="H30" i="8"/>
  <c r="H31" i="8"/>
  <c r="E3" i="8"/>
  <c r="E2" i="8"/>
  <c r="H6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5" i="8"/>
  <c r="I5" i="8"/>
  <c r="I23" i="7"/>
  <c r="I24" i="7"/>
  <c r="I25" i="7"/>
  <c r="H23" i="7"/>
  <c r="H24" i="7"/>
  <c r="H25" i="7"/>
  <c r="E3" i="7"/>
  <c r="E2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H5" i="7"/>
  <c r="I5" i="7"/>
  <c r="E3" i="6"/>
  <c r="E2" i="6"/>
  <c r="H6" i="6"/>
  <c r="H7" i="6"/>
  <c r="H8" i="6"/>
  <c r="H9" i="6"/>
  <c r="H10" i="6"/>
  <c r="H11" i="6"/>
  <c r="H12" i="6"/>
  <c r="H13" i="6"/>
  <c r="H14" i="6"/>
  <c r="H15" i="6"/>
  <c r="H16" i="6"/>
  <c r="H17" i="6"/>
  <c r="H20" i="6"/>
  <c r="H21" i="6"/>
  <c r="H22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H5" i="6"/>
  <c r="I5" i="6"/>
  <c r="I23" i="5"/>
  <c r="I24" i="5"/>
  <c r="I25" i="5"/>
  <c r="I26" i="5"/>
  <c r="H23" i="5"/>
  <c r="H25" i="5"/>
  <c r="H26" i="5"/>
  <c r="E3" i="5"/>
  <c r="E2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H5" i="5"/>
  <c r="I5" i="5"/>
  <c r="E3" i="4"/>
  <c r="E2" i="4"/>
  <c r="H6" i="4"/>
  <c r="H7" i="4"/>
  <c r="H8" i="4"/>
  <c r="H9" i="4"/>
  <c r="H10" i="4"/>
  <c r="H11" i="4"/>
  <c r="H12" i="4"/>
  <c r="H13" i="4"/>
  <c r="H14" i="4"/>
  <c r="H15" i="4"/>
  <c r="H16" i="4"/>
  <c r="I6" i="4"/>
  <c r="I7" i="4"/>
  <c r="I8" i="4"/>
  <c r="I9" i="4"/>
  <c r="I10" i="4"/>
  <c r="I11" i="4"/>
  <c r="I12" i="4"/>
  <c r="I13" i="4"/>
  <c r="I14" i="4"/>
  <c r="I15" i="4"/>
  <c r="I16" i="4"/>
  <c r="H5" i="4"/>
  <c r="I5" i="4"/>
  <c r="E3" i="3"/>
  <c r="E2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H5" i="3"/>
  <c r="I5" i="3"/>
  <c r="E3" i="2"/>
  <c r="E2" i="2"/>
  <c r="H8" i="2"/>
  <c r="H9" i="2"/>
  <c r="H12" i="2"/>
  <c r="H13" i="2"/>
  <c r="H16" i="2"/>
  <c r="H17" i="2"/>
  <c r="H20" i="2"/>
  <c r="H22" i="2"/>
  <c r="I8" i="2"/>
  <c r="I9" i="2"/>
  <c r="I12" i="2"/>
  <c r="I13" i="2"/>
  <c r="I16" i="2"/>
  <c r="I17" i="2"/>
  <c r="I20" i="2"/>
  <c r="I21" i="2"/>
  <c r="I22" i="2"/>
  <c r="H5" i="2"/>
  <c r="I5" i="2"/>
  <c r="H6" i="1"/>
  <c r="H7" i="1"/>
  <c r="H8" i="1"/>
  <c r="H9" i="1"/>
  <c r="H10" i="1"/>
  <c r="H11" i="1"/>
  <c r="H5" i="1"/>
  <c r="I6" i="1"/>
  <c r="I7" i="1"/>
  <c r="I8" i="1"/>
  <c r="I9" i="1"/>
  <c r="I10" i="1"/>
  <c r="I11" i="1"/>
  <c r="I5" i="1"/>
  <c r="F3" i="1"/>
  <c r="J25" i="2"/>
  <c r="J24" i="2"/>
</calcChain>
</file>

<file path=xl/sharedStrings.xml><?xml version="1.0" encoding="utf-8"?>
<sst xmlns="http://schemas.openxmlformats.org/spreadsheetml/2006/main" count="4096" uniqueCount="1221">
  <si>
    <t>Region</t>
  </si>
  <si>
    <t>Section</t>
  </si>
  <si>
    <t>Church Name</t>
  </si>
  <si>
    <t/>
  </si>
  <si>
    <t>The Lakes Assembly</t>
  </si>
  <si>
    <t>Rockwall</t>
  </si>
  <si>
    <t>Rev David E Spiegel</t>
  </si>
  <si>
    <t>The Parks Church</t>
  </si>
  <si>
    <t>McKinney</t>
  </si>
  <si>
    <t>Rev Kyle A Redel</t>
  </si>
  <si>
    <t>Destiny Church of the Assemblies of God</t>
  </si>
  <si>
    <t>Fort Worth</t>
  </si>
  <si>
    <t>Rev Carl A Earl</t>
  </si>
  <si>
    <t>Zion Gospel Assembly</t>
  </si>
  <si>
    <t>Richardson</t>
  </si>
  <si>
    <t>Rev Jacob George</t>
  </si>
  <si>
    <t>Samoan First Assembly of God</t>
  </si>
  <si>
    <t>Killeen</t>
  </si>
  <si>
    <t>Rev Toetu F Ti'i</t>
  </si>
  <si>
    <t>Evangel Assembly of God</t>
  </si>
  <si>
    <t>Life Gate Assemblies of God</t>
  </si>
  <si>
    <t>Arlington</t>
  </si>
  <si>
    <t>Rev Samuel Bonsu</t>
  </si>
  <si>
    <t>Rev J C Amburn</t>
  </si>
  <si>
    <t>Haskell</t>
  </si>
  <si>
    <t>First Assembly of God</t>
  </si>
  <si>
    <t>Abilene</t>
  </si>
  <si>
    <t>West</t>
  </si>
  <si>
    <t>Rev R Todd Barham</t>
  </si>
  <si>
    <t>Cleburne</t>
  </si>
  <si>
    <t>Hope Church of the Assemblies of God of Cleburne</t>
  </si>
  <si>
    <t>Rev Charles A Farina</t>
  </si>
  <si>
    <t>New Hope Assembly of God</t>
  </si>
  <si>
    <t>Rev Dorothy E Boren</t>
  </si>
  <si>
    <t>Lighthouse Assembly of God</t>
  </si>
  <si>
    <t>North Park Assembly of God</t>
  </si>
  <si>
    <t>Rev Jared B Owens</t>
  </si>
  <si>
    <t>The Church at the Cross</t>
  </si>
  <si>
    <t>Rev Ricky S Earp</t>
  </si>
  <si>
    <t>Spirit Life Church</t>
  </si>
  <si>
    <t>Rev G Wayne Kirk</t>
  </si>
  <si>
    <t>Sweetwater</t>
  </si>
  <si>
    <t>Rev Francisco Santiago</t>
  </si>
  <si>
    <t>Rev Joseph A Bushnell</t>
  </si>
  <si>
    <t>Merkel</t>
  </si>
  <si>
    <t>Abundant Life Assembly of God</t>
  </si>
  <si>
    <t>Chp William T Moore</t>
  </si>
  <si>
    <t>Breckenridge</t>
  </si>
  <si>
    <t>Christian Fellowship Church</t>
  </si>
  <si>
    <t>Rev Ted R Miller</t>
  </si>
  <si>
    <t>Hamlin</t>
  </si>
  <si>
    <t>Rev James E Chaney</t>
  </si>
  <si>
    <t>Clyde</t>
  </si>
  <si>
    <t>Rev Cody K Cochran</t>
  </si>
  <si>
    <t>Anson</t>
  </si>
  <si>
    <t>Bethel Assembly of God</t>
  </si>
  <si>
    <t>Rev Mark A Vaughan</t>
  </si>
  <si>
    <t>Cisco</t>
  </si>
  <si>
    <t>Rev Charles Sheppard</t>
  </si>
  <si>
    <t>Albany</t>
  </si>
  <si>
    <t>Rev Floyd R Patterson</t>
  </si>
  <si>
    <t>Throckmorton</t>
  </si>
  <si>
    <t>New Life Assembly of God</t>
  </si>
  <si>
    <t>Rev Randy D Rawls</t>
  </si>
  <si>
    <t>Stamford</t>
  </si>
  <si>
    <t>Rev S Leroy Henson</t>
  </si>
  <si>
    <t>Buffalo</t>
  </si>
  <si>
    <t>Brazos Valley</t>
  </si>
  <si>
    <t>South Central</t>
  </si>
  <si>
    <t>Rev Rebecca L Gillen</t>
  </si>
  <si>
    <t>Jewett</t>
  </si>
  <si>
    <t>Rev Wayne O Vincent</t>
  </si>
  <si>
    <t>Cameron</t>
  </si>
  <si>
    <t>Rev Randy S Holtzclaw</t>
  </si>
  <si>
    <t>Davilla</t>
  </si>
  <si>
    <t>Assembly of God</t>
  </si>
  <si>
    <t>Rockdale</t>
  </si>
  <si>
    <t>Rev Tommy L Thompson</t>
  </si>
  <si>
    <t>Bryan</t>
  </si>
  <si>
    <t>College Heights Assembly of God</t>
  </si>
  <si>
    <t>Chp Michael L Gillen</t>
  </si>
  <si>
    <t>Abundant Life Christian Center Assembly of God</t>
  </si>
  <si>
    <t>Rev Christopher J Liotta</t>
  </si>
  <si>
    <t>Rivergate Church</t>
  </si>
  <si>
    <t>Rev David Duane Ryman</t>
  </si>
  <si>
    <t>Caldwell</t>
  </si>
  <si>
    <t>Rev Ricky J Smith</t>
  </si>
  <si>
    <t>Flynn</t>
  </si>
  <si>
    <t>Rev Larry V Pinckard</t>
  </si>
  <si>
    <t>Madisonville</t>
  </si>
  <si>
    <t>Rev David B Norton</t>
  </si>
  <si>
    <t>Somerville</t>
  </si>
  <si>
    <t>Snook Assembly of God</t>
  </si>
  <si>
    <t>Rev Patrick L Herlitz</t>
  </si>
  <si>
    <t>Giddings</t>
  </si>
  <si>
    <t>Rev Dwayne K Word</t>
  </si>
  <si>
    <t>Centerville</t>
  </si>
  <si>
    <t>Chapel of the Hills Assembly of God</t>
  </si>
  <si>
    <t>Rev Barry R Lippart</t>
  </si>
  <si>
    <t>Kerens</t>
  </si>
  <si>
    <t>Faith Outreach Family Church</t>
  </si>
  <si>
    <t>Corsicana</t>
  </si>
  <si>
    <t>Rev Harry F Moore</t>
  </si>
  <si>
    <t>Fairfield</t>
  </si>
  <si>
    <t>Rev Spain E Trask</t>
  </si>
  <si>
    <t>Teague</t>
  </si>
  <si>
    <t>Rev George D Bolden</t>
  </si>
  <si>
    <t>Mexia</t>
  </si>
  <si>
    <t>Glad Tidings Assembly of God</t>
  </si>
  <si>
    <t>Rev Bryan A Hallmark</t>
  </si>
  <si>
    <t>Thornton</t>
  </si>
  <si>
    <t>Rev Curtis E McGehee</t>
  </si>
  <si>
    <t>Whitney</t>
  </si>
  <si>
    <t>Abiding Life Assembly of God</t>
  </si>
  <si>
    <t>Rev Mario Rivera</t>
  </si>
  <si>
    <t>Nueva Vida Assembly of God</t>
  </si>
  <si>
    <t>Rev Noe Gonzalez</t>
  </si>
  <si>
    <t>Itasca</t>
  </si>
  <si>
    <t>Third Day Worship Center</t>
  </si>
  <si>
    <t>Rev A Keith Berry</t>
  </si>
  <si>
    <t>Dawson</t>
  </si>
  <si>
    <t>Rev Freddie M Howell</t>
  </si>
  <si>
    <t>That Church of the Assemblies of God</t>
  </si>
  <si>
    <t>Rev Hayward H Nolen</t>
  </si>
  <si>
    <t>Perrin</t>
  </si>
  <si>
    <t>Cross Timbers</t>
  </si>
  <si>
    <t>Rev Paul E Brownback</t>
  </si>
  <si>
    <t>Azle</t>
  </si>
  <si>
    <t>The Abbey Church</t>
  </si>
  <si>
    <t>Rev Terry R Owens</t>
  </si>
  <si>
    <t>Decatur</t>
  </si>
  <si>
    <t>City Church</t>
  </si>
  <si>
    <t>Rev Dolon W Stevenson</t>
  </si>
  <si>
    <t>New Beginnings Assembly of God</t>
  </si>
  <si>
    <t>Rev Ronald L Hicks</t>
  </si>
  <si>
    <t>Springtown</t>
  </si>
  <si>
    <t>New Beginnings Church</t>
  </si>
  <si>
    <t>Rev Charles L Dickson</t>
  </si>
  <si>
    <t>Granbury</t>
  </si>
  <si>
    <t>Faith Assembly of God</t>
  </si>
  <si>
    <t>Rev William A Sanders</t>
  </si>
  <si>
    <t>Tolar</t>
  </si>
  <si>
    <t>Elm Grove Assembly of God</t>
  </si>
  <si>
    <t>Rev Ronnie W Horton</t>
  </si>
  <si>
    <t>Dublin</t>
  </si>
  <si>
    <t>Rev Roy E Dittfurth</t>
  </si>
  <si>
    <t>Stephenville</t>
  </si>
  <si>
    <t>Cornerstone Assembly of God</t>
  </si>
  <si>
    <t>Rev Phillip A Weitner</t>
  </si>
  <si>
    <t>Alvord</t>
  </si>
  <si>
    <t>Living Word Assembly</t>
  </si>
  <si>
    <t>Rev Billie E Fitch</t>
  </si>
  <si>
    <t>Boyd</t>
  </si>
  <si>
    <t>Hilltop Assembly of God</t>
  </si>
  <si>
    <t>Rev Joseph P Hromanik</t>
  </si>
  <si>
    <t>Rhome</t>
  </si>
  <si>
    <t>Rev Gary D Veazey</t>
  </si>
  <si>
    <t>Outreach of Love Church</t>
  </si>
  <si>
    <t>Rev Gary D Word</t>
  </si>
  <si>
    <t>Mineral Wells</t>
  </si>
  <si>
    <t>Rev Richard W Cleghorn</t>
  </si>
  <si>
    <t>Jacksboro</t>
  </si>
  <si>
    <t>Rev Victor M Arellano</t>
  </si>
  <si>
    <t>Rev Timothy D Petty</t>
  </si>
  <si>
    <t>Rev Mark A Fox</t>
  </si>
  <si>
    <t>Glen Rose</t>
  </si>
  <si>
    <t>Rev Marsha A McDonald</t>
  </si>
  <si>
    <t>Weatherford</t>
  </si>
  <si>
    <t>Cool Assembly of God</t>
  </si>
  <si>
    <t>Rev Curtis L Tucker</t>
  </si>
  <si>
    <t>Rev Gary W Sessions</t>
  </si>
  <si>
    <t>Bridgeport</t>
  </si>
  <si>
    <t>Twin Oaks Assembly of God</t>
  </si>
  <si>
    <t>Whitt</t>
  </si>
  <si>
    <t>Rev R G Jerry Reagan</t>
  </si>
  <si>
    <t>Denton</t>
  </si>
  <si>
    <t>Lifeline Church</t>
  </si>
  <si>
    <t>North Central</t>
  </si>
  <si>
    <t>Rev Rodney J Collver</t>
  </si>
  <si>
    <t>Lake Dallas</t>
  </si>
  <si>
    <t>Open Arms Church</t>
  </si>
  <si>
    <t>Rev Mark R Akers</t>
  </si>
  <si>
    <t>Lewisville</t>
  </si>
  <si>
    <t>Victorious Life Assembly of God</t>
  </si>
  <si>
    <t>Rev Richard D McCoy</t>
  </si>
  <si>
    <t>The Colony</t>
  </si>
  <si>
    <t>Calvary Christian Center Assembly of God</t>
  </si>
  <si>
    <t>Rev Andy Kim</t>
  </si>
  <si>
    <t>Carrollton</t>
  </si>
  <si>
    <t>Podowon Korean Church</t>
  </si>
  <si>
    <t>Rev Martin Guerra</t>
  </si>
  <si>
    <t>Reconciliation Church</t>
  </si>
  <si>
    <t>Rev Joe R Mayo</t>
  </si>
  <si>
    <t>Krum</t>
  </si>
  <si>
    <t>Christian Center Assembly of God</t>
  </si>
  <si>
    <t>Rev Richard A Plunk</t>
  </si>
  <si>
    <t>Flower Mound</t>
  </si>
  <si>
    <t>Grace Community Assembly of God</t>
  </si>
  <si>
    <t>Rev Kelly D Roberts</t>
  </si>
  <si>
    <t>New Life Fellowship Assembly of God</t>
  </si>
  <si>
    <t>Rev Zachary D Miller</t>
  </si>
  <si>
    <t>Little Elm</t>
  </si>
  <si>
    <t>The Crossing of Little Elm</t>
  </si>
  <si>
    <t>Rev Max Docusen</t>
  </si>
  <si>
    <t>Victory Assembly of God</t>
  </si>
  <si>
    <t>Rev Richard W Norris</t>
  </si>
  <si>
    <t>Eagle Pointe Community Church Assembly of God</t>
  </si>
  <si>
    <t>Rev Benjamin J DeBoef</t>
  </si>
  <si>
    <t>Corinth</t>
  </si>
  <si>
    <t>The Church of Corinth of the Assemblies of God</t>
  </si>
  <si>
    <t>Rev David L Bruce</t>
  </si>
  <si>
    <t>Aubrey</t>
  </si>
  <si>
    <t>Rev Jason B Olive</t>
  </si>
  <si>
    <t>Justin</t>
  </si>
  <si>
    <t>Sage Meadow Christian Fellowship</t>
  </si>
  <si>
    <t>Rev Tracy A Barnett</t>
  </si>
  <si>
    <t>Grace Fellowship Assembly of God</t>
  </si>
  <si>
    <t>Rev Randy D Snow</t>
  </si>
  <si>
    <t>Faith Tabernacle Assembly of God</t>
  </si>
  <si>
    <t>Rev Kendall S Bridges</t>
  </si>
  <si>
    <t>Freedom Life Church</t>
  </si>
  <si>
    <t>Rev R Scott Meador</t>
  </si>
  <si>
    <t>Journey Church</t>
  </si>
  <si>
    <t>Honey Grove</t>
  </si>
  <si>
    <t>Family Fellowship Assembly of God</t>
  </si>
  <si>
    <t>Greenville</t>
  </si>
  <si>
    <t>North East</t>
  </si>
  <si>
    <t>Rev David M Holt</t>
  </si>
  <si>
    <t>Paris</t>
  </si>
  <si>
    <t>Living Word Assembly of God</t>
  </si>
  <si>
    <t>Robert E Montgomery</t>
  </si>
  <si>
    <t>Pickton</t>
  </si>
  <si>
    <t>Harmony Assembly of God</t>
  </si>
  <si>
    <t>Rev Gregory T Cooper</t>
  </si>
  <si>
    <t>Sulphur Springs</t>
  </si>
  <si>
    <t>Sulphur Bluff</t>
  </si>
  <si>
    <t>Dr Don Paul Gray</t>
  </si>
  <si>
    <t>Quinlan</t>
  </si>
  <si>
    <t>Rev Douglas L Overly</t>
  </si>
  <si>
    <t>Tawakoni Assembly of God</t>
  </si>
  <si>
    <t>Rev Michael L Ellis</t>
  </si>
  <si>
    <t>Rev Claude E Plunk</t>
  </si>
  <si>
    <t>Calvary Assembly of God</t>
  </si>
  <si>
    <t>Rev Timothy L Couch</t>
  </si>
  <si>
    <t>Cross Branch Cowboy Church</t>
  </si>
  <si>
    <t>Leonard</t>
  </si>
  <si>
    <t>Rev Michael E Sanders</t>
  </si>
  <si>
    <t>Crossroads Assembly of God</t>
  </si>
  <si>
    <t>Rev Kenneth Wolfe</t>
  </si>
  <si>
    <t>Sash Assembly of God</t>
  </si>
  <si>
    <t>Rev Ricky D Richardson</t>
  </si>
  <si>
    <t>Cooper</t>
  </si>
  <si>
    <t>Rev Timothy M Roddam</t>
  </si>
  <si>
    <t>Healing Waters Assembly of God</t>
  </si>
  <si>
    <t>Rev Mishayla R Brewer</t>
  </si>
  <si>
    <t>Chicota</t>
  </si>
  <si>
    <t>Bonham</t>
  </si>
  <si>
    <t>Rev Mickey E Kelley</t>
  </si>
  <si>
    <t>Midway Assembly of God</t>
  </si>
  <si>
    <t>Rev Nickie D Pinson</t>
  </si>
  <si>
    <t>Peerless Full Gospel Assembly of God</t>
  </si>
  <si>
    <t>Rev D Brent Grissom</t>
  </si>
  <si>
    <t>Rev Samuel V Calk</t>
  </si>
  <si>
    <t>Lone Oak</t>
  </si>
  <si>
    <t>Rev Michael E Richard</t>
  </si>
  <si>
    <t>Marshall</t>
  </si>
  <si>
    <t>Longview</t>
  </si>
  <si>
    <t>Rev Darrel D Goynes</t>
  </si>
  <si>
    <t>Kilgore</t>
  </si>
  <si>
    <t>Full Gospel Assembly</t>
  </si>
  <si>
    <t>Rev Myra D Morales</t>
  </si>
  <si>
    <t>Iglesia Nueva Vida Asamblea de Dios</t>
  </si>
  <si>
    <t>Rev James E Williamson</t>
  </si>
  <si>
    <t>White Oak</t>
  </si>
  <si>
    <t>White Oak First Assembly of God</t>
  </si>
  <si>
    <t>Rev David E Baze</t>
  </si>
  <si>
    <t>Carthage</t>
  </si>
  <si>
    <t>Rev Ronnie G Shipman</t>
  </si>
  <si>
    <t>Spring Hill Assembly of God Church</t>
  </si>
  <si>
    <t>Rev Donny L Sapp</t>
  </si>
  <si>
    <t>Rev J Ben Terry</t>
  </si>
  <si>
    <t>Lone Star</t>
  </si>
  <si>
    <t>The Worship Center Assembly of God</t>
  </si>
  <si>
    <t>Rev James W Smith</t>
  </si>
  <si>
    <t>Ore City</t>
  </si>
  <si>
    <t>New Life Assembly of God Church</t>
  </si>
  <si>
    <t>Rev Roger D Hoffpowier</t>
  </si>
  <si>
    <t>Trinity Assembly of God</t>
  </si>
  <si>
    <t>Rev Glen M Ketchum</t>
  </si>
  <si>
    <t>Henderson</t>
  </si>
  <si>
    <t>Calvary Assembly of God Church</t>
  </si>
  <si>
    <t>Rev W Kyle Miller</t>
  </si>
  <si>
    <t>Jefferson</t>
  </si>
  <si>
    <t>Jefferson Assembly of God</t>
  </si>
  <si>
    <t>Rev James D Shepard</t>
  </si>
  <si>
    <t>Gladewater</t>
  </si>
  <si>
    <t>Liberty City Assembly of God</t>
  </si>
  <si>
    <t>Overton</t>
  </si>
  <si>
    <t>Rev Edgar Ayala</t>
  </si>
  <si>
    <t>Rev Charles L Cockroft</t>
  </si>
  <si>
    <t>Rev Ronald D Strait</t>
  </si>
  <si>
    <t>Highland Park Assembly of God</t>
  </si>
  <si>
    <t>Rev Brian K Nutt</t>
  </si>
  <si>
    <t>Grace Fellowship of Kilgore</t>
  </si>
  <si>
    <t>Rev Jeffery W Dunn</t>
  </si>
  <si>
    <t>Chalk Hill Assembly of God</t>
  </si>
  <si>
    <t>Rev James W Russell</t>
  </si>
  <si>
    <t>Rev Jimmy J Young</t>
  </si>
  <si>
    <t>Hallsville</t>
  </si>
  <si>
    <t>Rev Terrill L Pearson</t>
  </si>
  <si>
    <t>Rev David E Sanders</t>
  </si>
  <si>
    <t>Gilmer</t>
  </si>
  <si>
    <t>Oak Grove Church</t>
  </si>
  <si>
    <t>Rev Ricardo Aguilar</t>
  </si>
  <si>
    <t>Iglesia Casa De Fe</t>
  </si>
  <si>
    <t>Rev Curtis G Brown</t>
  </si>
  <si>
    <t>Rev Glen A Ketchum</t>
  </si>
  <si>
    <t>Waskom</t>
  </si>
  <si>
    <t>Rev Christopher D Borden</t>
  </si>
  <si>
    <t>Livingston</t>
  </si>
  <si>
    <t>Lufkin</t>
  </si>
  <si>
    <t>South East</t>
  </si>
  <si>
    <t>Rev Loyd T Thurman</t>
  </si>
  <si>
    <t>Leggett</t>
  </si>
  <si>
    <t>Leggett Assembly of God Church</t>
  </si>
  <si>
    <t>Rev Joshua N Poage</t>
  </si>
  <si>
    <t>Onalaska</t>
  </si>
  <si>
    <t>Rev Kenneth W Reynolds</t>
  </si>
  <si>
    <t>Huntington</t>
  </si>
  <si>
    <t>Groveton</t>
  </si>
  <si>
    <t>Calvary Temple Assembly of God</t>
  </si>
  <si>
    <t>Rev Phillip R Corbett</t>
  </si>
  <si>
    <t>Corrigan</t>
  </si>
  <si>
    <t>First Assembly of God Church</t>
  </si>
  <si>
    <t>Rev William R Shafer</t>
  </si>
  <si>
    <t>Hemphill</t>
  </si>
  <si>
    <t>Harvest Assembly of God</t>
  </si>
  <si>
    <t>Rev Donnal B Goodwin</t>
  </si>
  <si>
    <t>Beech Creek Assembly of God</t>
  </si>
  <si>
    <t>Rev Rodger D Goins</t>
  </si>
  <si>
    <t>Trinity</t>
  </si>
  <si>
    <t>Trinity Tabernacle Assembly of God</t>
  </si>
  <si>
    <t>Rev Kevin R Poage</t>
  </si>
  <si>
    <t>Pollok</t>
  </si>
  <si>
    <t>Clawson Assembly of God</t>
  </si>
  <si>
    <t>Rev Andrew C James</t>
  </si>
  <si>
    <t>Pineland</t>
  </si>
  <si>
    <t>Rev Steven B Comstock</t>
  </si>
  <si>
    <t>Diboll</t>
  </si>
  <si>
    <t>Rev Jeffrey C Murrell</t>
  </si>
  <si>
    <t>Rev Andrew Salagaj</t>
  </si>
  <si>
    <t>Rev Michael J Crenshaw</t>
  </si>
  <si>
    <t>Indian Village Assembly of God</t>
  </si>
  <si>
    <t>Rev Roberto Espinosa</t>
  </si>
  <si>
    <t>Mesquite</t>
  </si>
  <si>
    <t>Grace Asamblea de Dios</t>
  </si>
  <si>
    <t>Central</t>
  </si>
  <si>
    <t>Rev Ismael Guerra</t>
  </si>
  <si>
    <t>Garland</t>
  </si>
  <si>
    <t>Ministero Shalom</t>
  </si>
  <si>
    <t>Rev Ricky Espinoza</t>
  </si>
  <si>
    <t>Forney</t>
  </si>
  <si>
    <t>Iglesia Vision</t>
  </si>
  <si>
    <t>Rev Bright H Osigwe</t>
  </si>
  <si>
    <t>Dallas</t>
  </si>
  <si>
    <t>Amazing Grace Assembly of God</t>
  </si>
  <si>
    <t>New Community Church</t>
  </si>
  <si>
    <t>Rev Robert A Kennedy</t>
  </si>
  <si>
    <t>Mustang Creek Community Church</t>
  </si>
  <si>
    <t>Genesis II Assembly of God</t>
  </si>
  <si>
    <t>Rev Marcus S Elliott</t>
  </si>
  <si>
    <t>People's Fellowship Assembly of God</t>
  </si>
  <si>
    <t>Rev Michael R Pettitt</t>
  </si>
  <si>
    <t>Connection Pointe Church</t>
  </si>
  <si>
    <t>Rev Curtis D Ribble</t>
  </si>
  <si>
    <t>Graham</t>
  </si>
  <si>
    <t>Venture Community Church</t>
  </si>
  <si>
    <t>Rev Donny R Morrison</t>
  </si>
  <si>
    <t>Bethel Hill Assembly of God</t>
  </si>
  <si>
    <t>Chp Jerry D Groom</t>
  </si>
  <si>
    <t>Kaufman</t>
  </si>
  <si>
    <t>Rev Lonnie H Harris</t>
  </si>
  <si>
    <t>Terrell</t>
  </si>
  <si>
    <t>Seagoville</t>
  </si>
  <si>
    <t>Faith Family Assembly of God</t>
  </si>
  <si>
    <t>Rev Ronald J Koland</t>
  </si>
  <si>
    <t>Central Mesquite Assembly of God</t>
  </si>
  <si>
    <t>Celebration Church</t>
  </si>
  <si>
    <t>Rev Joseph M Chiles</t>
  </si>
  <si>
    <t>Rev Larry K Smeal</t>
  </si>
  <si>
    <t>Kemp</t>
  </si>
  <si>
    <t>Rev William J Vickery</t>
  </si>
  <si>
    <t>Rev Sione L Fuahala</t>
  </si>
  <si>
    <t>Euless</t>
  </si>
  <si>
    <t>First Tongan Assembly of God</t>
  </si>
  <si>
    <t>Mid Cities</t>
  </si>
  <si>
    <t>Rev Robert G Moya</t>
  </si>
  <si>
    <t>Grand Prairie</t>
  </si>
  <si>
    <t>City Chapel</t>
  </si>
  <si>
    <t>Rev Everette V Pafford</t>
  </si>
  <si>
    <t>Rev Robert J Snyder</t>
  </si>
  <si>
    <t>Radiant Life Church</t>
  </si>
  <si>
    <t>Rev Bill D Webb</t>
  </si>
  <si>
    <t>Bible Believers First Assembly of God</t>
  </si>
  <si>
    <t>Rev Lloyd D Zeigler</t>
  </si>
  <si>
    <t>Relevant Life Church</t>
  </si>
  <si>
    <t>Rev John R Bullard</t>
  </si>
  <si>
    <t>Grapevine</t>
  </si>
  <si>
    <t>Rev Chris Ayon</t>
  </si>
  <si>
    <t>Irving</t>
  </si>
  <si>
    <t>Calvary Church Arlington</t>
  </si>
  <si>
    <t>Calvary Mid-Cities</t>
  </si>
  <si>
    <t>Rev Gerald R Patterson</t>
  </si>
  <si>
    <t>More 2 Life Church of the Assemblies of God</t>
  </si>
  <si>
    <t>Rev Daniel E Hunter</t>
  </si>
  <si>
    <t>Mansfield</t>
  </si>
  <si>
    <t>Living Church</t>
  </si>
  <si>
    <t>Rev Mike D Benson</t>
  </si>
  <si>
    <t>The Grace Place</t>
  </si>
  <si>
    <t>Las Colinas</t>
  </si>
  <si>
    <t>Heartland Fellowship of the Assemblies of God</t>
  </si>
  <si>
    <t>Rev Jared R Patterson</t>
  </si>
  <si>
    <t>The Bridge Church of the Assemblies of God</t>
  </si>
  <si>
    <t>Rev J Don George</t>
  </si>
  <si>
    <t>Calvary Church Assembly of God</t>
  </si>
  <si>
    <t>Rev Daniel C Langston</t>
  </si>
  <si>
    <t>Bethel Temple of Fort Worth</t>
  </si>
  <si>
    <t>Rev Gerald T Waite</t>
  </si>
  <si>
    <t>Rev Kurt T Michaelson</t>
  </si>
  <si>
    <t>Central Assembly of God</t>
  </si>
  <si>
    <t>Christ Family Church</t>
  </si>
  <si>
    <t>Rev Frank S Tull</t>
  </si>
  <si>
    <t>The Word Church of the Assemblies of God</t>
  </si>
  <si>
    <t>Rev Michael J Townsend</t>
  </si>
  <si>
    <t>Jacksonville</t>
  </si>
  <si>
    <t>Nacoqdoches</t>
  </si>
  <si>
    <t>Rev Ernest Higginbotham</t>
  </si>
  <si>
    <t>Pierce's Chapel Assembly of God</t>
  </si>
  <si>
    <t>Rev Fredie J Williams</t>
  </si>
  <si>
    <t>Rusk</t>
  </si>
  <si>
    <t>Maydelle Assembly of God</t>
  </si>
  <si>
    <t>Crockett</t>
  </si>
  <si>
    <t>Rev Jerry R Shipman</t>
  </si>
  <si>
    <t>Grapeland</t>
  </si>
  <si>
    <t>Felders Chapel Assembly</t>
  </si>
  <si>
    <t>Rev Virgel C Daily</t>
  </si>
  <si>
    <t>Alto</t>
  </si>
  <si>
    <t>Rev Stephen L Noble</t>
  </si>
  <si>
    <t>Center</t>
  </si>
  <si>
    <t>Rev Dennis D Land</t>
  </si>
  <si>
    <t>Nacogdoches</t>
  </si>
  <si>
    <t>International Church of Nacogdoches</t>
  </si>
  <si>
    <t>Rev Jeffrey S Headrick</t>
  </si>
  <si>
    <t>San Augustine</t>
  </si>
  <si>
    <t>Faith Alive Church</t>
  </si>
  <si>
    <t>Rev John B Richerson</t>
  </si>
  <si>
    <t>Timpson</t>
  </si>
  <si>
    <t>Rev Douglas K McDonald</t>
  </si>
  <si>
    <t>Hiway Tabernacle</t>
  </si>
  <si>
    <t>Rev Sammy J Freeman</t>
  </si>
  <si>
    <t>Logan Assembly of God</t>
  </si>
  <si>
    <t>Rev Ruben D Rosales</t>
  </si>
  <si>
    <t>Liberty Assembly of God</t>
  </si>
  <si>
    <t>Rev Casey L Stafford</t>
  </si>
  <si>
    <t>Lovelady</t>
  </si>
  <si>
    <t>Lovelady Assembly of God</t>
  </si>
  <si>
    <t>Rev Bobby Joe Whisenant</t>
  </si>
  <si>
    <t>Kennard</t>
  </si>
  <si>
    <t>Rev James K Bell</t>
  </si>
  <si>
    <t>Austin</t>
  </si>
  <si>
    <t>North Austin</t>
  </si>
  <si>
    <t>Rev Jonathan D Johnson</t>
  </si>
  <si>
    <t>Rev James P Patterson</t>
  </si>
  <si>
    <t>Round Rock</t>
  </si>
  <si>
    <t>Life Connection Church</t>
  </si>
  <si>
    <t>Rev Gary G Langley</t>
  </si>
  <si>
    <t>High Calling Assembly of God</t>
  </si>
  <si>
    <t>Rev Benito Fresquez</t>
  </si>
  <si>
    <t>Freedom Church</t>
  </si>
  <si>
    <t>Rev Santiago Umana</t>
  </si>
  <si>
    <t>Buenos Nuevos</t>
  </si>
  <si>
    <t>Rev Patrick A Slack</t>
  </si>
  <si>
    <t>Manor</t>
  </si>
  <si>
    <t>Life Church</t>
  </si>
  <si>
    <t>Rev Frank B McIlhaney</t>
  </si>
  <si>
    <t>Pflugerville</t>
  </si>
  <si>
    <t>Shield of Faith Assembly of God</t>
  </si>
  <si>
    <t>Rev Terry D Slack</t>
  </si>
  <si>
    <t>Georgetown</t>
  </si>
  <si>
    <t>Georgetown Legacy Church</t>
  </si>
  <si>
    <t>Rev James R McHam</t>
  </si>
  <si>
    <t>Burnet</t>
  </si>
  <si>
    <t>Rev Shane C Allen</t>
  </si>
  <si>
    <t>Taylor</t>
  </si>
  <si>
    <t>Rev Dwight Flenniken</t>
  </si>
  <si>
    <t>Rev David W McLain</t>
  </si>
  <si>
    <t>Hutto</t>
  </si>
  <si>
    <t>The Bridge Community Church</t>
  </si>
  <si>
    <t>Rev Don P Dye</t>
  </si>
  <si>
    <t>Sunrise Fellowship</t>
  </si>
  <si>
    <t>Hornsby Bend Assembly of God</t>
  </si>
  <si>
    <t>Rev Russell W Lambert</t>
  </si>
  <si>
    <t>Cedar Park</t>
  </si>
  <si>
    <t>Whitestone Assembly of God</t>
  </si>
  <si>
    <t>Rev Paul M Vincent</t>
  </si>
  <si>
    <t>River of Life Church Assembly of God</t>
  </si>
  <si>
    <t>Rev Jonah Ghartey</t>
  </si>
  <si>
    <t>Rev Brennon M Robison</t>
  </si>
  <si>
    <t>Leander</t>
  </si>
  <si>
    <t>International Christian Assembly</t>
  </si>
  <si>
    <t>North Dallas</t>
  </si>
  <si>
    <t>Rev William M Forman</t>
  </si>
  <si>
    <t>Southside Assembly of God</t>
  </si>
  <si>
    <t>Rev Jeff D Lott</t>
  </si>
  <si>
    <t>Garland Praise Temple Assembly of God</t>
  </si>
  <si>
    <t>Rev Mauricio Elizondo</t>
  </si>
  <si>
    <t>Walnut Park Assembly of God</t>
  </si>
  <si>
    <t>Casa De Mi Gloria Ft. Worth</t>
  </si>
  <si>
    <t>Casa De Mi Gloria Bonham TX</t>
  </si>
  <si>
    <t>Rev John S Cruz</t>
  </si>
  <si>
    <t>Sachse</t>
  </si>
  <si>
    <t>Northplace Church Garland</t>
  </si>
  <si>
    <t>Rev Shawn Webb</t>
  </si>
  <si>
    <t>The Foundry Church</t>
  </si>
  <si>
    <t>Rev Joel D Triska</t>
  </si>
  <si>
    <t>Deep Ellum Church</t>
  </si>
  <si>
    <t>Rev Michael D Norman</t>
  </si>
  <si>
    <t>Rev R Bryan Jarrett</t>
  </si>
  <si>
    <t>Northplace Church of the Assemblies of God</t>
  </si>
  <si>
    <t>Rev Hristo K Hristov</t>
  </si>
  <si>
    <t>Rev Jacob P Varghese</t>
  </si>
  <si>
    <t>Rev Henry P Lozano</t>
  </si>
  <si>
    <t>Iglesia Alfa Y Omega Asambleas de Dios</t>
  </si>
  <si>
    <t>Rev Jacob V Rodriguez</t>
  </si>
  <si>
    <t>Rev Celso T Sumido</t>
  </si>
  <si>
    <t>New International Assembly of God</t>
  </si>
  <si>
    <t>Rev Baby Daniel</t>
  </si>
  <si>
    <t>Rev Thomas M McMahan</t>
  </si>
  <si>
    <t>Rev Weldon L Burchett</t>
  </si>
  <si>
    <t>Rev Marcus P Alexander</t>
  </si>
  <si>
    <t>Casa View Assembly of God</t>
  </si>
  <si>
    <t>Rev Michael Anderson</t>
  </si>
  <si>
    <t>Living Faith Assembly of God</t>
  </si>
  <si>
    <t>Gracehill Community</t>
  </si>
  <si>
    <t>Rev David T Freeman</t>
  </si>
  <si>
    <t>Bedford</t>
  </si>
  <si>
    <t>North East Fort Worth</t>
  </si>
  <si>
    <t>Rev Kenneth A Harris</t>
  </si>
  <si>
    <t>Hurst</t>
  </si>
  <si>
    <t>Rev J Daniel Smith</t>
  </si>
  <si>
    <t>Bethesda Community Church</t>
  </si>
  <si>
    <t>Rev Ronald W Pettet</t>
  </si>
  <si>
    <t>Fossil Creek Community Assembly of God</t>
  </si>
  <si>
    <t>Rev John D Miller</t>
  </si>
  <si>
    <t>Keller</t>
  </si>
  <si>
    <t>The Chapel Assembly of God</t>
  </si>
  <si>
    <t>Rev D Randy Sheridan</t>
  </si>
  <si>
    <t>Faith Creek Church</t>
  </si>
  <si>
    <t>Rev Martin Valdez</t>
  </si>
  <si>
    <t>Haltom City</t>
  </si>
  <si>
    <t>Haltom City Christian Center</t>
  </si>
  <si>
    <t>Rev Jeffrey R Strickland</t>
  </si>
  <si>
    <t>Colleyville</t>
  </si>
  <si>
    <t>Colleyville Assembly of God</t>
  </si>
  <si>
    <t>Rev Roger A Lewis</t>
  </si>
  <si>
    <t>Lifechurch of the Assemblies of God</t>
  </si>
  <si>
    <t>Rev Ricky D Franklin</t>
  </si>
  <si>
    <t>Southlake</t>
  </si>
  <si>
    <t>New Day Church at Southlake</t>
  </si>
  <si>
    <t>Rev William M Anger</t>
  </si>
  <si>
    <t>Crosspointe Church</t>
  </si>
  <si>
    <t>Rev Glen A Jalowy</t>
  </si>
  <si>
    <t>Grace Covenant Assembly of God</t>
  </si>
  <si>
    <t>Rev Jennifer A McAfee</t>
  </si>
  <si>
    <t>Villages Community Church</t>
  </si>
  <si>
    <t>Rev Timothy D Stevens</t>
  </si>
  <si>
    <t>Azle First Assembly of God</t>
  </si>
  <si>
    <t>North West Forth Worth</t>
  </si>
  <si>
    <t>Rev Randall J Lemme</t>
  </si>
  <si>
    <t>Saginaw</t>
  </si>
  <si>
    <t>The Oasis Church International</t>
  </si>
  <si>
    <t>Rev Scott B Russell</t>
  </si>
  <si>
    <t>The Destiny Center</t>
  </si>
  <si>
    <t>Rev Clayton D Phillips</t>
  </si>
  <si>
    <t>Sanctuary of Praise Assembly of God</t>
  </si>
  <si>
    <t>Rev Michael C Shutter</t>
  </si>
  <si>
    <t>White Settlement</t>
  </si>
  <si>
    <t>First Assembly of God of White Settlement</t>
  </si>
  <si>
    <t>Rev Robert B Nichols</t>
  </si>
  <si>
    <t>Calvary Cathedral</t>
  </si>
  <si>
    <t>Rev Douglas W Martin</t>
  </si>
  <si>
    <t>Lake Worth</t>
  </si>
  <si>
    <t>Vision Church of the Assemblies of God</t>
  </si>
  <si>
    <t>Rev Jeffrey B Hunter</t>
  </si>
  <si>
    <t>Fellowship of Lake Worth</t>
  </si>
  <si>
    <t>Rev Jeremy E Howard</t>
  </si>
  <si>
    <t>Rev Benjamin J Allen</t>
  </si>
  <si>
    <t>Real Life Church</t>
  </si>
  <si>
    <t>Rev Timothy W Woody</t>
  </si>
  <si>
    <t>Fort Worth City Life Center of the Assemblies of God</t>
  </si>
  <si>
    <t>Rev Johnny W DeForest</t>
  </si>
  <si>
    <t>Living Water Church of the Assemblies of God</t>
  </si>
  <si>
    <t>Rev James H Hartin</t>
  </si>
  <si>
    <t>Victory Christian Center Assembly of God</t>
  </si>
  <si>
    <t>Rev Glen H Gabbard</t>
  </si>
  <si>
    <t>Prosper</t>
  </si>
  <si>
    <t>Christian Chapel Assembly of God</t>
  </si>
  <si>
    <t>Plano</t>
  </si>
  <si>
    <t>Rev Thomas L Goodwin</t>
  </si>
  <si>
    <t>Rev Charles A Tuttle</t>
  </si>
  <si>
    <t>Genesis Church</t>
  </si>
  <si>
    <t>Rev Tracy J Jantz</t>
  </si>
  <si>
    <t>Frisco</t>
  </si>
  <si>
    <t>Rev David L Curry</t>
  </si>
  <si>
    <t>Farmersville</t>
  </si>
  <si>
    <t>Rev Matthew S Wagner</t>
  </si>
  <si>
    <t>Life Chapel of the Assemblies of God</t>
  </si>
  <si>
    <t>Rev John D McKinzie</t>
  </si>
  <si>
    <t>Hope Fellowship</t>
  </si>
  <si>
    <t>Rev Kerry L Sampson</t>
  </si>
  <si>
    <t>Wylie</t>
  </si>
  <si>
    <t>Hope Fellowship East</t>
  </si>
  <si>
    <t>Rev Chris T Lindberg</t>
  </si>
  <si>
    <t>Allen</t>
  </si>
  <si>
    <t>Life Fellowship Assembly of God</t>
  </si>
  <si>
    <t>Rev Leonard H McLaughlin</t>
  </si>
  <si>
    <t>Heritage Church of McKinney</t>
  </si>
  <si>
    <t>Rev Randall L Hill</t>
  </si>
  <si>
    <t>Summit Church</t>
  </si>
  <si>
    <t>Rev Kalyn C Brassfield</t>
  </si>
  <si>
    <t>Elevate Church of Texas</t>
  </si>
  <si>
    <t>Rev Carl D Tiner</t>
  </si>
  <si>
    <t>Bethany Worship Center Assembly of God</t>
  </si>
  <si>
    <t>Rev Brian K McClane</t>
  </si>
  <si>
    <t>Northpointe Assembly of God</t>
  </si>
  <si>
    <t>Rev John H Prom</t>
  </si>
  <si>
    <t>Princeton</t>
  </si>
  <si>
    <t>Legacy Church</t>
  </si>
  <si>
    <t>Rev Burle Richardson</t>
  </si>
  <si>
    <t>Sanger</t>
  </si>
  <si>
    <t>Red River</t>
  </si>
  <si>
    <t>Rev Sammy D Stephenson</t>
  </si>
  <si>
    <t>Denison</t>
  </si>
  <si>
    <t>Rev Herlin R Summers</t>
  </si>
  <si>
    <t>River Pointe Assembly of God</t>
  </si>
  <si>
    <t>Rev Saul Marquez</t>
  </si>
  <si>
    <t>Sherman</t>
  </si>
  <si>
    <t>New Creation Church Assembly of God</t>
  </si>
  <si>
    <t>Rev Jonathan E Faggart</t>
  </si>
  <si>
    <t>Harvest Time Assembly of God</t>
  </si>
  <si>
    <t>Rev Raymond G England</t>
  </si>
  <si>
    <t>Trinity Lighthouse Church</t>
  </si>
  <si>
    <t>Rev Wallace P Rains</t>
  </si>
  <si>
    <t>Howe</t>
  </si>
  <si>
    <t>New Beginning Fellowship</t>
  </si>
  <si>
    <t>Rev Terry D Johnson</t>
  </si>
  <si>
    <t>First Assembly</t>
  </si>
  <si>
    <t>Rev Robert S Newman</t>
  </si>
  <si>
    <t>Tioga</t>
  </si>
  <si>
    <t>Rev Dalton E Jaco</t>
  </si>
  <si>
    <t>Whitewright</t>
  </si>
  <si>
    <t>Rev Chad A Daugherty</t>
  </si>
  <si>
    <t>Saint Jo</t>
  </si>
  <si>
    <t>Rev Carl A Smith</t>
  </si>
  <si>
    <t>Pilot Point</t>
  </si>
  <si>
    <t>Cowboy Country Chapel</t>
  </si>
  <si>
    <t>Rev Edwin R Brooks</t>
  </si>
  <si>
    <t>Nocona</t>
  </si>
  <si>
    <t>Rev Dennis R King</t>
  </si>
  <si>
    <t>Gainesville</t>
  </si>
  <si>
    <t>House of Prayer Assembly of God</t>
  </si>
  <si>
    <t>Rev J Charles Pickett</t>
  </si>
  <si>
    <t>Gainesville First</t>
  </si>
  <si>
    <t>Rev Allen W Phillips</t>
  </si>
  <si>
    <t>Whitesboro</t>
  </si>
  <si>
    <t>Rev Bradley J Howard</t>
  </si>
  <si>
    <t>Lakeshore Assembly of God Church</t>
  </si>
  <si>
    <t>Rev Barney D Huie</t>
  </si>
  <si>
    <t>Oasis Church at Lakeview Assembly of God</t>
  </si>
  <si>
    <t>Rev Allen R Gregory</t>
  </si>
  <si>
    <t>Rowlett</t>
  </si>
  <si>
    <t>Rev Aime H Ntchobo</t>
  </si>
  <si>
    <t>Cornerstone Fellowship Church of Dallas</t>
  </si>
  <si>
    <t>Oasis Church at Caddo Mills</t>
  </si>
  <si>
    <t>Rev O John Iwuamadi</t>
  </si>
  <si>
    <t>Rescue Sanctuary Assembly of God</t>
  </si>
  <si>
    <t>Rev Francisco Solis</t>
  </si>
  <si>
    <t>Rowlett Church of the Assemblies of God</t>
  </si>
  <si>
    <t>Rev E Wayne Hanks</t>
  </si>
  <si>
    <t>Rev Michael L Powell</t>
  </si>
  <si>
    <t>Lavon</t>
  </si>
  <si>
    <t>Rev Robert D Barnes</t>
  </si>
  <si>
    <t>Royse City</t>
  </si>
  <si>
    <t>High Point Assembly of God</t>
  </si>
  <si>
    <t>Llano</t>
  </si>
  <si>
    <t>San Angelo</t>
  </si>
  <si>
    <t>Rev Merlin D Woosley</t>
  </si>
  <si>
    <t>Eldorado</t>
  </si>
  <si>
    <t>Agape Assembly of God</t>
  </si>
  <si>
    <t>Rev Steven B Gillette</t>
  </si>
  <si>
    <t>Comanche</t>
  </si>
  <si>
    <t>Rev Jay C Partin</t>
  </si>
  <si>
    <t>Mason</t>
  </si>
  <si>
    <t>Calvary Lighthouse Assembly of God</t>
  </si>
  <si>
    <t>Rev Walter E Griggs</t>
  </si>
  <si>
    <t>Rev Gaylon D Morris</t>
  </si>
  <si>
    <t>Brady</t>
  </si>
  <si>
    <t>Calvary Temple Assembly of God Church</t>
  </si>
  <si>
    <t>Rev Irving G Smith</t>
  </si>
  <si>
    <t>Robert Lee</t>
  </si>
  <si>
    <t>Rev David Larkin Smith</t>
  </si>
  <si>
    <t>Word of Life Assembly of God</t>
  </si>
  <si>
    <t>Rev Roy A McNeely</t>
  </si>
  <si>
    <t>Brownwood</t>
  </si>
  <si>
    <t>New Life at the Lake</t>
  </si>
  <si>
    <t>Winters</t>
  </si>
  <si>
    <t>Rev Elwayne W Schaeffer</t>
  </si>
  <si>
    <t>De Leon</t>
  </si>
  <si>
    <t>De Leon Assembly of God</t>
  </si>
  <si>
    <t>Rev Tim W Dewey</t>
  </si>
  <si>
    <t>Evangel Temple Assembly of God</t>
  </si>
  <si>
    <t>Rev David L Henry</t>
  </si>
  <si>
    <t>Rev Terry S Hamm</t>
  </si>
  <si>
    <t>Cross Road Assembly of God</t>
  </si>
  <si>
    <t>Rev Jimmie D Fry</t>
  </si>
  <si>
    <t>Santa Anna</t>
  </si>
  <si>
    <t>Lighthouse Outreach Church</t>
  </si>
  <si>
    <t>Rev Jack E Vaughn</t>
  </si>
  <si>
    <t>Goldthwaite</t>
  </si>
  <si>
    <t>Rev Jeffrey L Pieprzyca</t>
  </si>
  <si>
    <t>Rev Richard Vandeventer</t>
  </si>
  <si>
    <t>San Saba</t>
  </si>
  <si>
    <t>Rev Stephen W Darby</t>
  </si>
  <si>
    <t>Heights Assembly of God</t>
  </si>
  <si>
    <t>South Austin</t>
  </si>
  <si>
    <t>Rev Leo G Miller</t>
  </si>
  <si>
    <t>Lockhart</t>
  </si>
  <si>
    <t>Rev Daniel W Matlock</t>
  </si>
  <si>
    <t>San Marcos</t>
  </si>
  <si>
    <t>Eikon Church</t>
  </si>
  <si>
    <t>Rev Debra K Stiles</t>
  </si>
  <si>
    <t>Austin Spirit of Life Deaf Church</t>
  </si>
  <si>
    <t>Rev D Lafayette Coleman</t>
  </si>
  <si>
    <t>Rev Tommy L Wilborn</t>
  </si>
  <si>
    <t>Spicewood</t>
  </si>
  <si>
    <t>Grace Outreach Family Church</t>
  </si>
  <si>
    <t>Rev P Glenn Boone</t>
  </si>
  <si>
    <t>Kyle</t>
  </si>
  <si>
    <t>Rev Mark D Pecina</t>
  </si>
  <si>
    <t>Manchaca</t>
  </si>
  <si>
    <t>Faith Builders Worship Center</t>
  </si>
  <si>
    <t>Rev Gary D Carlson</t>
  </si>
  <si>
    <t>Buda</t>
  </si>
  <si>
    <t>Rev L Duane Weis</t>
  </si>
  <si>
    <t>Fredericksburg</t>
  </si>
  <si>
    <t>Rev Phillip L Woods</t>
  </si>
  <si>
    <t>Bastrop</t>
  </si>
  <si>
    <t>Rev Lewis R McCartney</t>
  </si>
  <si>
    <t>Rev Charley D Pierson</t>
  </si>
  <si>
    <t>Red Rock</t>
  </si>
  <si>
    <t>Taylorsville Assembly of God</t>
  </si>
  <si>
    <t>Rev R Ken Volkert</t>
  </si>
  <si>
    <t>Rev Robert D Weis</t>
  </si>
  <si>
    <t>Marble Falls</t>
  </si>
  <si>
    <t>Rev J Sidney Watson</t>
  </si>
  <si>
    <t>Luling</t>
  </si>
  <si>
    <t>Family Worship Center</t>
  </si>
  <si>
    <t>Rev David E Schultz</t>
  </si>
  <si>
    <t>Blanco</t>
  </si>
  <si>
    <t>First Assembly of God of Blanco</t>
  </si>
  <si>
    <t>Rev Anthony C Scoma</t>
  </si>
  <si>
    <t>Southwest Family Fellowship</t>
  </si>
  <si>
    <t>Rev Mark L Lovato</t>
  </si>
  <si>
    <t>DeSoto</t>
  </si>
  <si>
    <t>The Promise Church of the Assemblies of God</t>
  </si>
  <si>
    <t>South Dallas</t>
  </si>
  <si>
    <t>Rev Jerry M Weiss</t>
  </si>
  <si>
    <t>Desoto</t>
  </si>
  <si>
    <t>Church on the Hill of the Assemblies of God</t>
  </si>
  <si>
    <t>Rev Jason G Henderson</t>
  </si>
  <si>
    <t>Life in Christ Church</t>
  </si>
  <si>
    <t>Rev R Darrell Pilcher</t>
  </si>
  <si>
    <t>Faith Christian Center Assembly of God</t>
  </si>
  <si>
    <t>Rev Donniel Wilson</t>
  </si>
  <si>
    <t>Lancaster</t>
  </si>
  <si>
    <t>True Vine Ministries</t>
  </si>
  <si>
    <t>Rev Marco A Luna</t>
  </si>
  <si>
    <t>The Gathering Church of the Assemblies of God</t>
  </si>
  <si>
    <t>Rev Josue Elorreaga</t>
  </si>
  <si>
    <t>Dallas Christian Center Assembly</t>
  </si>
  <si>
    <t>Rev Clay Wallace</t>
  </si>
  <si>
    <t>Dallas Metro Family Fellowship</t>
  </si>
  <si>
    <t>Rev Simon Adom</t>
  </si>
  <si>
    <t>Christ the King</t>
  </si>
  <si>
    <t>Rev Joseph L Temte</t>
  </si>
  <si>
    <t>Duncanville</t>
  </si>
  <si>
    <t>Fairmeadows Assembly of God</t>
  </si>
  <si>
    <t>Rev James E Hennesy</t>
  </si>
  <si>
    <t>Cedar Hill</t>
  </si>
  <si>
    <t>Trinity Church of the Assemblies of God</t>
  </si>
  <si>
    <t>Rev Greg S White</t>
  </si>
  <si>
    <t>Crossroads of Life Assembly of God</t>
  </si>
  <si>
    <t>Rev Robert W Brashear</t>
  </si>
  <si>
    <t>King of Glory Assembly of God</t>
  </si>
  <si>
    <t>Rev Collis L Daniels</t>
  </si>
  <si>
    <t>Rev Wyndell Scott Wilson</t>
  </si>
  <si>
    <t>Red Oak</t>
  </si>
  <si>
    <t>The Oaks Fellowship</t>
  </si>
  <si>
    <t>Rev Tommy L Nunn</t>
  </si>
  <si>
    <t>Rev M Roy Johnson</t>
  </si>
  <si>
    <t>Faith Temple Assembly of God</t>
  </si>
  <si>
    <t>Rev Ben D Brumback</t>
  </si>
  <si>
    <t>Kiestwood Assembly of God</t>
  </si>
  <si>
    <t>Rev Rudy Martinez</t>
  </si>
  <si>
    <t>Dallas Indian Revival Center Assembly of God</t>
  </si>
  <si>
    <t>Rev David B Bush</t>
  </si>
  <si>
    <t>Harmony Christian Church</t>
  </si>
  <si>
    <t>Rev Charles R Bryant</t>
  </si>
  <si>
    <t>Burleson</t>
  </si>
  <si>
    <t>Rendon Forest Assembly of God</t>
  </si>
  <si>
    <t>South Fort Worth</t>
  </si>
  <si>
    <t>Rev Stephen C Blandino</t>
  </si>
  <si>
    <t>7 City Church</t>
  </si>
  <si>
    <t>Rev Jack V Hunt</t>
  </si>
  <si>
    <t>Willow Park</t>
  </si>
  <si>
    <t>Christ Church West</t>
  </si>
  <si>
    <t>Legacy Community Church Fort Worth</t>
  </si>
  <si>
    <t>Chp Russell Weaver</t>
  </si>
  <si>
    <t>Shepherds Valley Cowboy Church</t>
  </si>
  <si>
    <t>Rev Carol J Garr</t>
  </si>
  <si>
    <t>Grandview</t>
  </si>
  <si>
    <t>Lakeside Glory Church</t>
  </si>
  <si>
    <t>Rev Mark A Greenroy</t>
  </si>
  <si>
    <t>Victory Family Church</t>
  </si>
  <si>
    <t>Rev Chad M Benson</t>
  </si>
  <si>
    <t>Lifegate Assembly of God Church</t>
  </si>
  <si>
    <t>Rev Stephen L Nutt</t>
  </si>
  <si>
    <t>Creekwood Church</t>
  </si>
  <si>
    <t>Rev Wilbur L Stanley</t>
  </si>
  <si>
    <t>Joshua</t>
  </si>
  <si>
    <t>Rev Martin L Douglas</t>
  </si>
  <si>
    <t>Five Points Church</t>
  </si>
  <si>
    <t>Rev Raymond M Hill</t>
  </si>
  <si>
    <t>Grace Church</t>
  </si>
  <si>
    <t>Rev Doyle E Adams</t>
  </si>
  <si>
    <t>Alvarado</t>
  </si>
  <si>
    <t>Alvarado Worship Center</t>
  </si>
  <si>
    <t>Rev Alfred L Crane</t>
  </si>
  <si>
    <t>Crowley</t>
  </si>
  <si>
    <t>Crowley Assembly of God</t>
  </si>
  <si>
    <t>Rev Dale W Shorter</t>
  </si>
  <si>
    <t>Rev J Donivan Smith</t>
  </si>
  <si>
    <t>Arlington Heights Assembly of God</t>
  </si>
  <si>
    <t>Rev Darius L Johnston</t>
  </si>
  <si>
    <t>Christ Church Assembly of God</t>
  </si>
  <si>
    <t>Rev Danny L Robinson</t>
  </si>
  <si>
    <t>Kennedale</t>
  </si>
  <si>
    <t>Life Fellowship Church of the Assemblies of God</t>
  </si>
  <si>
    <t>Rev Brent A Lowe</t>
  </si>
  <si>
    <t>Godley</t>
  </si>
  <si>
    <t>Corner Point Church</t>
  </si>
  <si>
    <t>Rev Michael K Mizell</t>
  </si>
  <si>
    <t>Bethel Temple Assembly of God</t>
  </si>
  <si>
    <t>Rev Phillip A Brown</t>
  </si>
  <si>
    <t>Cleburne Family Fellowship Assembly of God</t>
  </si>
  <si>
    <t>Rev Lonnie O Huett</t>
  </si>
  <si>
    <t>Benbrook</t>
  </si>
  <si>
    <t>Restoration Family Church Assembly of God</t>
  </si>
  <si>
    <t>Rev Jeffery L Fitzgerald</t>
  </si>
  <si>
    <t>De Kalb</t>
  </si>
  <si>
    <t>Texarkana</t>
  </si>
  <si>
    <t>Rev Ricky L Cottle</t>
  </si>
  <si>
    <t>Hughes Springs</t>
  </si>
  <si>
    <t>Rev John C Scroggin</t>
  </si>
  <si>
    <t>Detroit</t>
  </si>
  <si>
    <t>Rev Jason W Crump</t>
  </si>
  <si>
    <t>Queen City</t>
  </si>
  <si>
    <t>Queen City Assembly of God</t>
  </si>
  <si>
    <t>Rev Jimmy D White</t>
  </si>
  <si>
    <t>Northside Assembly of God</t>
  </si>
  <si>
    <t>Rev Charles A Henderson</t>
  </si>
  <si>
    <t>Atlanta</t>
  </si>
  <si>
    <t>Rev Thomas R Smith</t>
  </si>
  <si>
    <t>Mount Pleasant</t>
  </si>
  <si>
    <t>Dellwood Park Assembly of God</t>
  </si>
  <si>
    <t>Rev Matthew W Neese</t>
  </si>
  <si>
    <t>New Boston</t>
  </si>
  <si>
    <t>The Gospel Tabernacle of New Boston</t>
  </si>
  <si>
    <t>Rev Joseph R McCrary</t>
  </si>
  <si>
    <t>Pittsburg</t>
  </si>
  <si>
    <t>Victory Church</t>
  </si>
  <si>
    <t>Rev Bryan D Peck</t>
  </si>
  <si>
    <t>Naples</t>
  </si>
  <si>
    <t>Restoration Family Worship Center</t>
  </si>
  <si>
    <t>Rev Jason F Mays</t>
  </si>
  <si>
    <t>Living Truth Fellowship</t>
  </si>
  <si>
    <t>Rev Louis T Smith</t>
  </si>
  <si>
    <t>Hooks</t>
  </si>
  <si>
    <t>Bogata</t>
  </si>
  <si>
    <t>Rev Joshua W Mooney</t>
  </si>
  <si>
    <t>Avery</t>
  </si>
  <si>
    <t>New Beginnings Worship Center</t>
  </si>
  <si>
    <t>Rev Joshua D Lee</t>
  </si>
  <si>
    <t>Rev Odes H Haltom</t>
  </si>
  <si>
    <t>Rev Ridgell L Murphy</t>
  </si>
  <si>
    <t>Rev Lonnie L Fortner</t>
  </si>
  <si>
    <t>Talco</t>
  </si>
  <si>
    <t>Rev Jason P Blankenship</t>
  </si>
  <si>
    <t>Mount Vernon</t>
  </si>
  <si>
    <t>Abundant Grace</t>
  </si>
  <si>
    <t>Rev Donald G White</t>
  </si>
  <si>
    <t>Rev Wilson S Weed</t>
  </si>
  <si>
    <t>Clarksville</t>
  </si>
  <si>
    <t>Abundant Life Worship Center</t>
  </si>
  <si>
    <t>Rev Jerry M McKellar</t>
  </si>
  <si>
    <t>Linden</t>
  </si>
  <si>
    <t>Rev Jessie A Griffin</t>
  </si>
  <si>
    <t>Frankston</t>
  </si>
  <si>
    <t>Trinity Valley</t>
  </si>
  <si>
    <t>Rev Dennis N Newburn</t>
  </si>
  <si>
    <t>Athens</t>
  </si>
  <si>
    <t>The Well Worship Center</t>
  </si>
  <si>
    <t>Rev Kenneth D Wilkinson</t>
  </si>
  <si>
    <t>New Summerfield</t>
  </si>
  <si>
    <t>New Summerfield Assembly of God</t>
  </si>
  <si>
    <t>Rev Timothy C Howard</t>
  </si>
  <si>
    <t>Gun Barrel City</t>
  </si>
  <si>
    <t>Rev Don Bell</t>
  </si>
  <si>
    <t>Seven Points</t>
  </si>
  <si>
    <t>Lakeview Assembly of God</t>
  </si>
  <si>
    <t>Rev James S Duke</t>
  </si>
  <si>
    <t>Chandler</t>
  </si>
  <si>
    <t>Sunrise Assembly of God</t>
  </si>
  <si>
    <t>Chp Barney O Walker</t>
  </si>
  <si>
    <t>Elkhart</t>
  </si>
  <si>
    <t>Rev P Wayne Roden</t>
  </si>
  <si>
    <t>Cayuga</t>
  </si>
  <si>
    <t>Rev Charles R McShan</t>
  </si>
  <si>
    <t>Palestine</t>
  </si>
  <si>
    <t>Rev Christopher M Wilson</t>
  </si>
  <si>
    <t>Murchison</t>
  </si>
  <si>
    <t>Hope Assembly of God</t>
  </si>
  <si>
    <t>Barton's Chapel Assembly of God</t>
  </si>
  <si>
    <t>Rev Royce G Barker</t>
  </si>
  <si>
    <t>Mabank</t>
  </si>
  <si>
    <t>Rev Mark L Fulks</t>
  </si>
  <si>
    <t>Brownsboro</t>
  </si>
  <si>
    <t>Rev Jonathan D Lilley</t>
  </si>
  <si>
    <t>Eustace</t>
  </si>
  <si>
    <t>Zion Hill Assembly</t>
  </si>
  <si>
    <t>Rev Kenneth F Jones</t>
  </si>
  <si>
    <t>Rev Joe N Tucker</t>
  </si>
  <si>
    <t>Trinidad</t>
  </si>
  <si>
    <t>Gateway Assembly of God</t>
  </si>
  <si>
    <t>Rev Jesse T Hayes</t>
  </si>
  <si>
    <t>Malakoff</t>
  </si>
  <si>
    <t>Hilltop Worship Center</t>
  </si>
  <si>
    <t>Rev Robert C Betz</t>
  </si>
  <si>
    <t>Payne Springs Assembly of God</t>
  </si>
  <si>
    <t>Living Springs Assembly of God</t>
  </si>
  <si>
    <t>Tyler</t>
  </si>
  <si>
    <t>Bascom Assembly of God</t>
  </si>
  <si>
    <t>Rev Steven B Williams</t>
  </si>
  <si>
    <t>Lindale</t>
  </si>
  <si>
    <t>The Church of Garden Valley</t>
  </si>
  <si>
    <t>Chp Paul E Ransberger</t>
  </si>
  <si>
    <t>Lindale Assembly of God</t>
  </si>
  <si>
    <t>Noonday Assembly of God</t>
  </si>
  <si>
    <t>Rev Edwin L Wisehart</t>
  </si>
  <si>
    <t>Van</t>
  </si>
  <si>
    <t>Rev Tracy D Wright</t>
  </si>
  <si>
    <t>Troup</t>
  </si>
  <si>
    <t>Rev Larry K Otwell</t>
  </si>
  <si>
    <t>Quitman</t>
  </si>
  <si>
    <t>Rev Jerry A Williams</t>
  </si>
  <si>
    <t>Mineola</t>
  </si>
  <si>
    <t>Rev James E Eitson</t>
  </si>
  <si>
    <t>Park Heights Assembly of God</t>
  </si>
  <si>
    <t>Rev M Don Majors</t>
  </si>
  <si>
    <t>Hawkins</t>
  </si>
  <si>
    <t>Rev Paul D Dyess</t>
  </si>
  <si>
    <t>Bullard</t>
  </si>
  <si>
    <t>Rev Michael Kirkpatrick</t>
  </si>
  <si>
    <t>Ben Wheeler</t>
  </si>
  <si>
    <t>Flat Wood Assembly of God</t>
  </si>
  <si>
    <t>Rev Bimmy R Boyles</t>
  </si>
  <si>
    <t>Canton</t>
  </si>
  <si>
    <t>Rev Michael D Fleming</t>
  </si>
  <si>
    <t>Whitehouse</t>
  </si>
  <si>
    <t>Rev Edward E Jordan</t>
  </si>
  <si>
    <t>Grand Saline</t>
  </si>
  <si>
    <t>New Horizons Family Worship Center</t>
  </si>
  <si>
    <t>Rev Kevin L Hendrix</t>
  </si>
  <si>
    <t>Rev Michael A Davis</t>
  </si>
  <si>
    <t>Grace Chapel Assembly of God</t>
  </si>
  <si>
    <t>Rev Thomas M Saali</t>
  </si>
  <si>
    <t>Cornerstone Church of the Assemblies of God</t>
  </si>
  <si>
    <t>Rev Randall H McDonald</t>
  </si>
  <si>
    <t>Rev Don L Stanley</t>
  </si>
  <si>
    <t>Rev Bob F Wallace</t>
  </si>
  <si>
    <t>Winnsboro</t>
  </si>
  <si>
    <t>Rev Montie L Parker</t>
  </si>
  <si>
    <t>Emory</t>
  </si>
  <si>
    <t>Rev Wesley N Wuerch</t>
  </si>
  <si>
    <t>Wills Point</t>
  </si>
  <si>
    <t>Chp Charles D Henderson</t>
  </si>
  <si>
    <t>Alba</t>
  </si>
  <si>
    <t>Gunter Community Church of the Assemblies of God</t>
  </si>
  <si>
    <t>Rev Otis L Lee</t>
  </si>
  <si>
    <t>Golden</t>
  </si>
  <si>
    <t>Cottonwood Assembly of God</t>
  </si>
  <si>
    <t>Rev Brian L Williams</t>
  </si>
  <si>
    <t>Arp</t>
  </si>
  <si>
    <t>Arp Assembly of God</t>
  </si>
  <si>
    <t>Rev Thomas D Hale</t>
  </si>
  <si>
    <t>Waco</t>
  </si>
  <si>
    <t>Turning Point Assembly of God</t>
  </si>
  <si>
    <t>Rev Elwyn N Johnston</t>
  </si>
  <si>
    <t>Temple</t>
  </si>
  <si>
    <t>Bethel West</t>
  </si>
  <si>
    <t>Rev Jimmy W Guess</t>
  </si>
  <si>
    <t>Troy</t>
  </si>
  <si>
    <t>Rev Kevin D Harrison</t>
  </si>
  <si>
    <t>Victorious Life Assembly</t>
  </si>
  <si>
    <t>Rev Ken Riley</t>
  </si>
  <si>
    <t>Hewitt</t>
  </si>
  <si>
    <t>Rev Michael J Tracy</t>
  </si>
  <si>
    <t>Harker Heights</t>
  </si>
  <si>
    <t>Rev Brian P Cranfill</t>
  </si>
  <si>
    <t>Copperas Cove</t>
  </si>
  <si>
    <t>Five Hills Assembly of God</t>
  </si>
  <si>
    <t>Rev Gene E Russell</t>
  </si>
  <si>
    <t>Meridian</t>
  </si>
  <si>
    <t>Rev David A Starkey</t>
  </si>
  <si>
    <t>Rev R Duane Hoxworth</t>
  </si>
  <si>
    <t>Praise Temple Assembly of God</t>
  </si>
  <si>
    <t>Rev Paul E Moore</t>
  </si>
  <si>
    <t>Rogers</t>
  </si>
  <si>
    <t>Chp Douglas B Shafer</t>
  </si>
  <si>
    <t>Rev Mark D Kelsay</t>
  </si>
  <si>
    <t>Marlin</t>
  </si>
  <si>
    <t>Rev Matthew G Thrasher</t>
  </si>
  <si>
    <t>Belton</t>
  </si>
  <si>
    <t>Crossroads Church</t>
  </si>
  <si>
    <t>Rev Greg R Barnett</t>
  </si>
  <si>
    <t>Rev Billy G Pedigo</t>
  </si>
  <si>
    <t>Moody</t>
  </si>
  <si>
    <t>Rev Kevin D Veazey</t>
  </si>
  <si>
    <t>Lampasas</t>
  </si>
  <si>
    <t>Christ the Rock Church</t>
  </si>
  <si>
    <t>Rev Cecil C Adams</t>
  </si>
  <si>
    <t>Rev Jocy P Johnson</t>
  </si>
  <si>
    <t>Rev Deryl K Leblanc</t>
  </si>
  <si>
    <t>Abundant New Life Assembly of God</t>
  </si>
  <si>
    <t>Rev Derrell G Surface</t>
  </si>
  <si>
    <t>Hillsboro</t>
  </si>
  <si>
    <t>Waxahachie</t>
  </si>
  <si>
    <t>Rev James E Williams</t>
  </si>
  <si>
    <t>Rev Joshua D Rivera</t>
  </si>
  <si>
    <t>Iglesia Fuego de Dios</t>
  </si>
  <si>
    <t>Rev Jeffrey L Borden</t>
  </si>
  <si>
    <t>Rock Community Church</t>
  </si>
  <si>
    <t>Rev Jason W Exley</t>
  </si>
  <si>
    <t>Midlothian</t>
  </si>
  <si>
    <t>Rev Michael A Masek</t>
  </si>
  <si>
    <t>Ferris</t>
  </si>
  <si>
    <t>Covenant Church</t>
  </si>
  <si>
    <t>Rev David D Johnston</t>
  </si>
  <si>
    <t>Highland Meadows Church of the Assemblies of God</t>
  </si>
  <si>
    <t>Rev Darrell G Nelson</t>
  </si>
  <si>
    <t>Ennis</t>
  </si>
  <si>
    <t>Rev Ronald E Shull</t>
  </si>
  <si>
    <t>Gateway Church of the Assemblies of God</t>
  </si>
  <si>
    <t>Rev William H Morgan</t>
  </si>
  <si>
    <t>Italy</t>
  </si>
  <si>
    <t>Family Fellowship Church</t>
  </si>
  <si>
    <t>Rev E Carmen Ingram</t>
  </si>
  <si>
    <t>Palmer</t>
  </si>
  <si>
    <t>Rev Robert G Shelton</t>
  </si>
  <si>
    <t>Maypearl</t>
  </si>
  <si>
    <t>Maypearl First Assembly of God</t>
  </si>
  <si>
    <t>Rev John C Bates</t>
  </si>
  <si>
    <t>Freedom Fellowship International</t>
  </si>
  <si>
    <t>Rev Phillip V Freeman</t>
  </si>
  <si>
    <t>South Park Assembly of God</t>
  </si>
  <si>
    <t>Rev Michael D Eddy</t>
  </si>
  <si>
    <t>University Assembly of God</t>
  </si>
  <si>
    <t>Rev Timothy L Grant</t>
  </si>
  <si>
    <t>Hopewell Community Church of the Assemblies of God</t>
  </si>
  <si>
    <t>Rev Rennie J Baker</t>
  </si>
  <si>
    <t>The House of Hope of the Assemblies of God</t>
  </si>
  <si>
    <t>Venus</t>
  </si>
  <si>
    <t>Venus Community Church</t>
  </si>
  <si>
    <t>Rev Billy J Pate</t>
  </si>
  <si>
    <t>Burkburnett</t>
  </si>
  <si>
    <t>The River Church Assembly of God</t>
  </si>
  <si>
    <t>Wichita Falls</t>
  </si>
  <si>
    <t>Rev Jason L Arispe</t>
  </si>
  <si>
    <t>Newcastle</t>
  </si>
  <si>
    <t>Christian Hope Assembly of God</t>
  </si>
  <si>
    <t>Rev Garry L Tippit</t>
  </si>
  <si>
    <t>Country Chapel</t>
  </si>
  <si>
    <t>Rev James L Harmon</t>
  </si>
  <si>
    <t>Rev Eric L Brooks</t>
  </si>
  <si>
    <t>Quanah</t>
  </si>
  <si>
    <t>Rev L Ervin Asiatico</t>
  </si>
  <si>
    <t>Crowell</t>
  </si>
  <si>
    <t>Rev Brian K Pounds</t>
  </si>
  <si>
    <t>Vernon</t>
  </si>
  <si>
    <t>Rev Melissa Hudson</t>
  </si>
  <si>
    <t>Seymour</t>
  </si>
  <si>
    <t>Rev Stephen R Winner</t>
  </si>
  <si>
    <t>Olney</t>
  </si>
  <si>
    <t>Rev Rickey L Rasco</t>
  </si>
  <si>
    <t>Iowa Park</t>
  </si>
  <si>
    <t>Rev Michael P Wells</t>
  </si>
  <si>
    <t>Holliday</t>
  </si>
  <si>
    <t>Holliday Assembly of God</t>
  </si>
  <si>
    <t>Rev Ronald P Barnard</t>
  </si>
  <si>
    <t>Heritage Assembly of God</t>
  </si>
  <si>
    <t>Byers</t>
  </si>
  <si>
    <t>Rev Gary A Elrod</t>
  </si>
  <si>
    <t>Faith Center Assembly of God</t>
  </si>
  <si>
    <t>Rev Jon T Curry</t>
  </si>
  <si>
    <t>Archer City</t>
  </si>
  <si>
    <t>Grace Community Church Assembly of God</t>
  </si>
  <si>
    <t>Rev Rigoberto Contreras</t>
  </si>
  <si>
    <t>Rev Robert D Rogers</t>
  </si>
  <si>
    <t>Rev Jarrell Kuykendall</t>
  </si>
  <si>
    <t>Bethesda Worship Center</t>
  </si>
  <si>
    <t>Rev Kile B Bateman</t>
  </si>
  <si>
    <t>Rev Earnest D Patterson</t>
  </si>
  <si>
    <t>Sunset</t>
  </si>
  <si>
    <t>Voice of Triumph Assembly of God</t>
  </si>
  <si>
    <t>Rev Justin D Harris</t>
  </si>
  <si>
    <t>Bowie</t>
  </si>
  <si>
    <t>Rev Manuel F Hankins</t>
  </si>
  <si>
    <t>Loving</t>
  </si>
  <si>
    <t>Rev L C Smith</t>
  </si>
  <si>
    <t>Squaw Mountain Assembly of God</t>
  </si>
  <si>
    <t>Rev Darwin M Stroud</t>
  </si>
  <si>
    <t>Electra</t>
  </si>
  <si>
    <t>North Texas District of the Assemblies of God</t>
  </si>
  <si>
    <t>Account</t>
  </si>
  <si>
    <t>City</t>
  </si>
  <si>
    <t>Affiliation</t>
  </si>
  <si>
    <t>Pastor</t>
  </si>
  <si>
    <t>District</t>
  </si>
  <si>
    <t>GC</t>
  </si>
  <si>
    <t>PAC</t>
  </si>
  <si>
    <t xml:space="preserve">GC </t>
  </si>
  <si>
    <t>Ten Year Trend Report (Sunday AM Attendance)</t>
  </si>
  <si>
    <t>Region:</t>
  </si>
  <si>
    <t>Section:</t>
  </si>
  <si>
    <t>NA</t>
  </si>
  <si>
    <t>Change</t>
  </si>
  <si>
    <t>Percent</t>
  </si>
  <si>
    <t>Sectional Trend Report - Sunday AM Attendance</t>
  </si>
  <si>
    <t>No Regional or Sectional Affiliation on AMCR</t>
  </si>
  <si>
    <t>Westwood Christian Fellowship of the AG</t>
  </si>
  <si>
    <t>Cityview Community Church of the AG</t>
  </si>
  <si>
    <t>Texas Cowboy Worship Center of the AG</t>
  </si>
  <si>
    <t>Calvary Worship Center of the AG</t>
  </si>
  <si>
    <t>All Nations Church of the AG</t>
  </si>
  <si>
    <t>Bulgarian Evangelical Church AG - Dallas</t>
  </si>
  <si>
    <t>Northplace Church of the AG</t>
  </si>
  <si>
    <t>Solomon's Porch of the AG</t>
  </si>
  <si>
    <t>Infusion Ministry Center of the AG</t>
  </si>
  <si>
    <t>Cornerstone Community Church of the AG</t>
  </si>
  <si>
    <t>Tioga Community Church of the AG</t>
  </si>
  <si>
    <t>Grape Creek Family Fellowship of the AG</t>
  </si>
  <si>
    <t>New Life Christian Center of the AG</t>
  </si>
  <si>
    <t>New Life Worship Center of the AG</t>
  </si>
  <si>
    <t>LifeHouse Fellowship of the AG</t>
  </si>
  <si>
    <t>New Hope Community Church of the AG</t>
  </si>
  <si>
    <t>Radiant Life Fellowship of the AG</t>
  </si>
  <si>
    <t>The Church of Glad Tidings AG</t>
  </si>
  <si>
    <t>Hewitt Community Church of the AG</t>
  </si>
  <si>
    <t>Top 25 in Sunday Morning Attendance in 2013</t>
  </si>
  <si>
    <t>Top 25 in Percentage Growth in Sunday AM Attendence from 2012 ot 2013</t>
  </si>
  <si>
    <t>Red = Negative Growth</t>
  </si>
  <si>
    <t>Pink = Zero Growth</t>
  </si>
  <si>
    <t>Blue = Sectional Top % and #</t>
  </si>
  <si>
    <t>Total General Council Churches</t>
  </si>
  <si>
    <t>Total Churches</t>
  </si>
  <si>
    <t>Total District Affiliated Churches</t>
  </si>
  <si>
    <t>Total Number of Sunday AM Attendance</t>
  </si>
  <si>
    <t>Average Sunday Attendance</t>
  </si>
  <si>
    <t>Number of Churches Reporting Positive Growth</t>
  </si>
  <si>
    <t>Number of Churches Reporting No Growth</t>
  </si>
  <si>
    <t>Number of Churches Reporting Negative Growth</t>
  </si>
  <si>
    <t>2013 ACMR Numbers</t>
  </si>
  <si>
    <t>Total PAC Churches</t>
  </si>
  <si>
    <t>PACs numbers are counted with the Parent Church.</t>
  </si>
  <si>
    <t>Sunday AM attendance for North Texas AG Churches from 2004 to 2013</t>
  </si>
  <si>
    <t>or</t>
  </si>
  <si>
    <t>2004 to 2013 Sunday AM Attendance Report</t>
  </si>
  <si>
    <t>REGION</t>
  </si>
  <si>
    <t>SECTION</t>
  </si>
  <si>
    <t>Northeast Fort Worth</t>
  </si>
  <si>
    <t>Northwest Fort Worth</t>
  </si>
  <si>
    <t>Mid-cities</t>
  </si>
  <si>
    <t>South-central</t>
  </si>
  <si>
    <t>Brozos Valley</t>
  </si>
  <si>
    <t>Northeast</t>
  </si>
  <si>
    <t>Southeast</t>
  </si>
  <si>
    <t>2012-2013 Net Growth and Percentage</t>
  </si>
  <si>
    <t>Sectional Numbers</t>
  </si>
  <si>
    <t>2012 to 2013 Net Growth</t>
  </si>
  <si>
    <t>2012 to 2013 Percent Growth</t>
  </si>
  <si>
    <t>Green = 10% Growth and up</t>
  </si>
  <si>
    <t>Calvary Assembly of God / Irving is the Highest Sunday AM Attendence in the District</t>
  </si>
  <si>
    <t>First AG in Saint Jo has the greatest growth percentage in 2013 in the North Texas District</t>
  </si>
  <si>
    <t>Church</t>
  </si>
  <si>
    <t>Type</t>
  </si>
  <si>
    <t>%Growth</t>
  </si>
  <si>
    <t>#Growth</t>
  </si>
  <si>
    <t>Net Growth from 2004-2013 -</t>
  </si>
  <si>
    <t>Updated 11/15/14</t>
  </si>
  <si>
    <t>2004 to 2013 Net Growth</t>
  </si>
  <si>
    <t>2004 to 2014 Net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</si>
</sst>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4"/>
      <color theme="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CFCE"/>
        <bgColor indexed="64"/>
      </patternFill>
    </fill>
    <fill>
      <patternFill patternType="solid">
        <fgColor rgb="FFF5E4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1EACE"/>
        <bgColor indexed="64"/>
      </patternFill>
    </fill>
    <fill>
      <patternFill patternType="solid">
        <fgColor rgb="FFFF0000"/>
        <bgColor auto="1"/>
      </patternFill>
    </fill>
    <fill>
      <patternFill patternType="solid">
        <fgColor rgb="FF00B0F0"/>
        <bgColor auto="1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auto="1"/>
      </right>
      <top style="thin">
        <color rgb="FFD0D7E5"/>
      </top>
      <bottom style="thin">
        <color rgb="FFD0D7E5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D0D7E5"/>
      </left>
      <right style="thin">
        <color auto="1"/>
      </right>
      <top style="thin">
        <color rgb="FFD0D7E5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D0D7E5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9" fontId="6" fillId="0" borderId="0" applyFont="0" applyFill="0" applyBorder="0" applyAlignment="0" applyProtection="0"/>
    <xf numFmtId="0" fontId="6" fillId="5" borderId="0"/>
    <xf numFmtId="164" fontId="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3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vertical="center" wrapText="1"/>
    </xf>
    <xf numFmtId="0" fontId="6" fillId="5" borderId="0" xfId="2"/>
    <xf numFmtId="0" fontId="2" fillId="5" borderId="3" xfId="2" applyFont="1" applyFill="1" applyBorder="1" applyAlignment="1" applyProtection="1">
      <alignment horizontal="right" vertical="center" wrapText="1"/>
    </xf>
    <xf numFmtId="0" fontId="2" fillId="5" borderId="3" xfId="2" applyFont="1" applyFill="1" applyBorder="1" applyAlignment="1" applyProtection="1">
      <alignment vertical="center" wrapText="1"/>
    </xf>
    <xf numFmtId="0" fontId="1" fillId="2" borderId="1" xfId="2" applyFont="1" applyFill="1" applyBorder="1" applyAlignment="1" applyProtection="1">
      <alignment horizontal="center" vertical="center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0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2" fillId="3" borderId="2" xfId="0" applyFont="1" applyFill="1" applyBorder="1" applyAlignment="1" applyProtection="1">
      <alignment vertical="center" wrapText="1"/>
    </xf>
    <xf numFmtId="9" fontId="2" fillId="5" borderId="3" xfId="1" applyFont="1" applyFill="1" applyBorder="1" applyAlignment="1" applyProtection="1">
      <alignment vertical="center" wrapText="1"/>
    </xf>
    <xf numFmtId="0" fontId="1" fillId="2" borderId="12" xfId="0" applyFont="1" applyFill="1" applyBorder="1" applyAlignment="1" applyProtection="1">
      <alignment horizontal="center" vertical="center"/>
    </xf>
    <xf numFmtId="0" fontId="4" fillId="4" borderId="13" xfId="0" applyFont="1" applyFill="1" applyBorder="1" applyAlignment="1" applyProtection="1">
      <alignment horizontal="right" vertical="center" wrapText="1"/>
    </xf>
    <xf numFmtId="0" fontId="0" fillId="0" borderId="0" xfId="0" applyBorder="1" applyAlignment="1">
      <alignment horizontal="right"/>
    </xf>
    <xf numFmtId="0" fontId="0" fillId="0" borderId="0" xfId="0" applyBorder="1"/>
    <xf numFmtId="0" fontId="1" fillId="2" borderId="0" xfId="0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vertical="center" wrapText="1"/>
    </xf>
    <xf numFmtId="0" fontId="2" fillId="3" borderId="0" xfId="0" applyFont="1" applyFill="1" applyBorder="1" applyAlignment="1" applyProtection="1">
      <alignment vertical="center" wrapText="1"/>
    </xf>
    <xf numFmtId="9" fontId="3" fillId="3" borderId="0" xfId="1" applyFont="1" applyFill="1" applyBorder="1" applyAlignment="1" applyProtection="1">
      <alignment vertical="center" wrapText="1"/>
    </xf>
    <xf numFmtId="0" fontId="5" fillId="5" borderId="0" xfId="0" applyFont="1" applyFill="1" applyBorder="1" applyAlignment="1" applyProtection="1">
      <alignment horizontal="right" vertical="center" wrapText="1"/>
    </xf>
    <xf numFmtId="0" fontId="4" fillId="4" borderId="0" xfId="0" applyFont="1" applyFill="1" applyBorder="1" applyAlignment="1" applyProtection="1">
      <alignment horizontal="right" vertical="center" wrapText="1"/>
    </xf>
    <xf numFmtId="0" fontId="0" fillId="0" borderId="17" xfId="0" applyBorder="1"/>
    <xf numFmtId="0" fontId="0" fillId="0" borderId="18" xfId="0" applyBorder="1"/>
    <xf numFmtId="0" fontId="1" fillId="2" borderId="17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0" fontId="3" fillId="3" borderId="17" xfId="0" applyFont="1" applyFill="1" applyBorder="1" applyAlignment="1" applyProtection="1">
      <alignment vertical="center" wrapText="1"/>
    </xf>
    <xf numFmtId="0" fontId="4" fillId="4" borderId="18" xfId="0" applyFont="1" applyFill="1" applyBorder="1" applyAlignment="1" applyProtection="1">
      <alignment horizontal="right" vertical="center" wrapText="1"/>
    </xf>
    <xf numFmtId="0" fontId="3" fillId="3" borderId="19" xfId="0" applyFont="1" applyFill="1" applyBorder="1" applyAlignment="1" applyProtection="1">
      <alignment vertical="center" wrapText="1"/>
    </xf>
    <xf numFmtId="0" fontId="3" fillId="3" borderId="20" xfId="0" applyFont="1" applyFill="1" applyBorder="1" applyAlignment="1" applyProtection="1">
      <alignment vertical="center" wrapText="1"/>
    </xf>
    <xf numFmtId="9" fontId="3" fillId="3" borderId="20" xfId="1" applyFont="1" applyFill="1" applyBorder="1" applyAlignment="1" applyProtection="1">
      <alignment vertical="center" wrapText="1"/>
    </xf>
    <xf numFmtId="0" fontId="5" fillId="5" borderId="20" xfId="0" applyFont="1" applyFill="1" applyBorder="1" applyAlignment="1" applyProtection="1">
      <alignment horizontal="right" vertical="center" wrapText="1"/>
    </xf>
    <xf numFmtId="0" fontId="4" fillId="4" borderId="20" xfId="0" applyFont="1" applyFill="1" applyBorder="1" applyAlignment="1" applyProtection="1">
      <alignment horizontal="right" vertical="center" wrapText="1"/>
    </xf>
    <xf numFmtId="0" fontId="4" fillId="4" borderId="21" xfId="0" applyFont="1" applyFill="1" applyBorder="1" applyAlignment="1" applyProtection="1">
      <alignment horizontal="right" vertical="center" wrapText="1"/>
    </xf>
    <xf numFmtId="9" fontId="0" fillId="0" borderId="0" xfId="1" applyFont="1" applyBorder="1"/>
    <xf numFmtId="0" fontId="7" fillId="0" borderId="0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9" fontId="7" fillId="0" borderId="0" xfId="1" applyFont="1" applyBorder="1"/>
    <xf numFmtId="9" fontId="7" fillId="0" borderId="20" xfId="1" applyFont="1" applyBorder="1"/>
    <xf numFmtId="0" fontId="13" fillId="7" borderId="0" xfId="0" applyFont="1" applyFill="1" applyBorder="1"/>
    <xf numFmtId="0" fontId="14" fillId="7" borderId="0" xfId="0" applyFont="1" applyFill="1" applyBorder="1" applyAlignment="1">
      <alignment horizontal="right"/>
    </xf>
    <xf numFmtId="0" fontId="6" fillId="5" borderId="0" xfId="2" applyBorder="1"/>
    <xf numFmtId="0" fontId="6" fillId="5" borderId="8" xfId="2" applyBorder="1"/>
    <xf numFmtId="0" fontId="6" fillId="5" borderId="10" xfId="2" applyBorder="1"/>
    <xf numFmtId="0" fontId="6" fillId="5" borderId="11" xfId="2" applyBorder="1"/>
    <xf numFmtId="0" fontId="2" fillId="5" borderId="22" xfId="2" applyFont="1" applyFill="1" applyBorder="1" applyAlignment="1" applyProtection="1">
      <alignment vertical="center" wrapText="1"/>
    </xf>
    <xf numFmtId="0" fontId="2" fillId="5" borderId="22" xfId="2" applyFont="1" applyFill="1" applyBorder="1" applyAlignment="1" applyProtection="1">
      <alignment horizontal="right" vertical="center" wrapText="1"/>
    </xf>
    <xf numFmtId="0" fontId="0" fillId="5" borderId="0" xfId="2" applyFont="1" applyBorder="1"/>
    <xf numFmtId="9" fontId="2" fillId="12" borderId="3" xfId="1" applyFont="1" applyFill="1" applyBorder="1" applyAlignment="1" applyProtection="1">
      <alignment vertical="center" wrapText="1"/>
    </xf>
    <xf numFmtId="0" fontId="2" fillId="12" borderId="3" xfId="2" applyFont="1" applyFill="1" applyBorder="1" applyAlignment="1" applyProtection="1">
      <alignment vertical="center" wrapText="1"/>
    </xf>
    <xf numFmtId="9" fontId="2" fillId="11" borderId="3" xfId="1" applyFont="1" applyFill="1" applyBorder="1" applyAlignment="1" applyProtection="1">
      <alignment vertical="center" wrapText="1"/>
    </xf>
    <xf numFmtId="0" fontId="2" fillId="11" borderId="3" xfId="2" applyFont="1" applyFill="1" applyBorder="1" applyAlignment="1" applyProtection="1">
      <alignment vertical="center" wrapText="1"/>
    </xf>
    <xf numFmtId="9" fontId="2" fillId="10" borderId="3" xfId="1" applyFont="1" applyFill="1" applyBorder="1" applyAlignment="1" applyProtection="1">
      <alignment vertical="center" wrapText="1"/>
    </xf>
    <xf numFmtId="0" fontId="2" fillId="10" borderId="3" xfId="2" applyFont="1" applyFill="1" applyBorder="1" applyAlignment="1" applyProtection="1">
      <alignment vertical="center" wrapText="1"/>
    </xf>
    <xf numFmtId="9" fontId="2" fillId="9" borderId="3" xfId="1" applyFont="1" applyFill="1" applyBorder="1" applyAlignment="1" applyProtection="1">
      <alignment vertical="center" wrapText="1"/>
    </xf>
    <xf numFmtId="0" fontId="2" fillId="9" borderId="3" xfId="2" applyFont="1" applyFill="1" applyBorder="1" applyAlignment="1" applyProtection="1">
      <alignment vertical="center" wrapText="1"/>
    </xf>
    <xf numFmtId="0" fontId="2" fillId="5" borderId="24" xfId="2" applyFont="1" applyFill="1" applyBorder="1" applyAlignment="1" applyProtection="1">
      <alignment horizontal="right" vertical="center" wrapText="1"/>
    </xf>
    <xf numFmtId="0" fontId="0" fillId="0" borderId="10" xfId="0" applyBorder="1"/>
    <xf numFmtId="0" fontId="1" fillId="2" borderId="12" xfId="2" applyFont="1" applyFill="1" applyBorder="1" applyAlignment="1" applyProtection="1">
      <alignment horizontal="center" vertical="center"/>
    </xf>
    <xf numFmtId="0" fontId="2" fillId="5" borderId="13" xfId="2" applyFont="1" applyFill="1" applyBorder="1" applyAlignment="1" applyProtection="1">
      <alignment horizontal="right" vertical="center" wrapText="1"/>
    </xf>
    <xf numFmtId="0" fontId="12" fillId="5" borderId="7" xfId="2" applyFont="1" applyBorder="1" applyAlignment="1">
      <alignment horizontal="right"/>
    </xf>
    <xf numFmtId="0" fontId="12" fillId="5" borderId="0" xfId="2" applyFont="1" applyBorder="1"/>
    <xf numFmtId="0" fontId="2" fillId="5" borderId="27" xfId="2" applyFont="1" applyFill="1" applyBorder="1" applyAlignment="1" applyProtection="1">
      <alignment vertical="center" wrapText="1"/>
    </xf>
    <xf numFmtId="0" fontId="2" fillId="5" borderId="28" xfId="2" applyFont="1" applyFill="1" applyBorder="1" applyAlignment="1" applyProtection="1">
      <alignment horizontal="right" vertical="center" wrapText="1"/>
    </xf>
    <xf numFmtId="0" fontId="7" fillId="5" borderId="7" xfId="2" applyFont="1" applyBorder="1"/>
    <xf numFmtId="3" fontId="0" fillId="0" borderId="0" xfId="0" applyNumberFormat="1"/>
    <xf numFmtId="3" fontId="3" fillId="3" borderId="0" xfId="1" applyNumberFormat="1" applyFont="1" applyFill="1" applyBorder="1" applyAlignment="1" applyProtection="1">
      <alignment vertical="center" wrapText="1"/>
    </xf>
    <xf numFmtId="3" fontId="3" fillId="3" borderId="0" xfId="0" applyNumberFormat="1" applyFont="1" applyFill="1" applyBorder="1" applyAlignment="1" applyProtection="1">
      <alignment vertical="center" wrapText="1"/>
    </xf>
    <xf numFmtId="3" fontId="5" fillId="5" borderId="0" xfId="0" applyNumberFormat="1" applyFont="1" applyFill="1" applyBorder="1" applyAlignment="1" applyProtection="1">
      <alignment horizontal="right" vertical="center" wrapText="1"/>
    </xf>
    <xf numFmtId="3" fontId="4" fillId="4" borderId="0" xfId="0" applyNumberFormat="1" applyFont="1" applyFill="1" applyBorder="1" applyAlignment="1" applyProtection="1">
      <alignment horizontal="right" vertical="center" wrapText="1"/>
    </xf>
    <xf numFmtId="0" fontId="15" fillId="0" borderId="10" xfId="0" applyFont="1" applyBorder="1"/>
    <xf numFmtId="0" fontId="0" fillId="0" borderId="25" xfId="0" applyBorder="1"/>
    <xf numFmtId="165" fontId="15" fillId="0" borderId="25" xfId="3" applyNumberFormat="1" applyFont="1" applyBorder="1"/>
    <xf numFmtId="0" fontId="15" fillId="0" borderId="25" xfId="0" applyFont="1" applyBorder="1"/>
    <xf numFmtId="0" fontId="0" fillId="0" borderId="25" xfId="0" applyFont="1" applyBorder="1"/>
    <xf numFmtId="0" fontId="16" fillId="0" borderId="32" xfId="0" applyFont="1" applyBorder="1"/>
    <xf numFmtId="0" fontId="16" fillId="0" borderId="33" xfId="0" applyFont="1" applyBorder="1"/>
    <xf numFmtId="9" fontId="15" fillId="0" borderId="34" xfId="1" applyFont="1" applyBorder="1"/>
    <xf numFmtId="9" fontId="15" fillId="0" borderId="35" xfId="1" applyFont="1" applyBorder="1"/>
    <xf numFmtId="0" fontId="17" fillId="0" borderId="19" xfId="0" applyFont="1" applyBorder="1"/>
    <xf numFmtId="0" fontId="18" fillId="14" borderId="30" xfId="0" applyFont="1" applyFill="1" applyBorder="1"/>
    <xf numFmtId="0" fontId="14" fillId="14" borderId="30" xfId="0" applyFont="1" applyFill="1" applyBorder="1"/>
    <xf numFmtId="0" fontId="14" fillId="14" borderId="31" xfId="0" applyFont="1" applyFill="1" applyBorder="1"/>
    <xf numFmtId="0" fontId="15" fillId="14" borderId="18" xfId="0" applyFont="1" applyFill="1" applyBorder="1"/>
    <xf numFmtId="1" fontId="15" fillId="0" borderId="25" xfId="0" applyNumberFormat="1" applyFont="1" applyBorder="1"/>
    <xf numFmtId="0" fontId="0" fillId="14" borderId="25" xfId="0" applyFill="1" applyBorder="1"/>
    <xf numFmtId="0" fontId="0" fillId="14" borderId="26" xfId="0" applyFill="1" applyBorder="1"/>
    <xf numFmtId="0" fontId="7" fillId="14" borderId="12" xfId="0" applyFont="1" applyFill="1" applyBorder="1"/>
    <xf numFmtId="0" fontId="7" fillId="14" borderId="25" xfId="0" applyFont="1" applyFill="1" applyBorder="1" applyAlignment="1">
      <alignment horizontal="center"/>
    </xf>
    <xf numFmtId="9" fontId="7" fillId="14" borderId="25" xfId="0" applyNumberFormat="1" applyFont="1" applyFill="1" applyBorder="1" applyAlignment="1">
      <alignment horizontal="center"/>
    </xf>
    <xf numFmtId="3" fontId="7" fillId="14" borderId="25" xfId="0" applyNumberFormat="1" applyFont="1" applyFill="1" applyBorder="1" applyAlignment="1">
      <alignment horizontal="center"/>
    </xf>
    <xf numFmtId="0" fontId="15" fillId="11" borderId="25" xfId="0" applyFont="1" applyFill="1" applyBorder="1"/>
    <xf numFmtId="9" fontId="15" fillId="11" borderId="35" xfId="1" applyFont="1" applyFill="1" applyBorder="1"/>
    <xf numFmtId="0" fontId="20" fillId="14" borderId="29" xfId="0" applyFont="1" applyFill="1" applyBorder="1"/>
    <xf numFmtId="0" fontId="0" fillId="0" borderId="21" xfId="0" applyBorder="1" applyAlignment="1">
      <alignment horizontal="center"/>
    </xf>
    <xf numFmtId="0" fontId="15" fillId="0" borderId="36" xfId="0" applyFont="1" applyBorder="1" applyAlignment="1">
      <alignment horizontal="right"/>
    </xf>
    <xf numFmtId="0" fontId="15" fillId="0" borderId="0" xfId="0" applyFont="1" applyBorder="1" applyAlignment="1">
      <alignment vertical="center" wrapText="1"/>
    </xf>
    <xf numFmtId="0" fontId="15" fillId="20" borderId="16" xfId="0" applyFont="1" applyFill="1" applyBorder="1" applyAlignment="1">
      <alignment vertical="center" wrapText="1"/>
    </xf>
    <xf numFmtId="0" fontId="15" fillId="20" borderId="17" xfId="0" applyFont="1" applyFill="1" applyBorder="1" applyAlignment="1">
      <alignment vertical="center" wrapText="1"/>
    </xf>
    <xf numFmtId="0" fontId="15" fillId="20" borderId="18" xfId="0" applyFont="1" applyFill="1" applyBorder="1" applyAlignment="1">
      <alignment vertical="center" wrapText="1"/>
    </xf>
    <xf numFmtId="0" fontId="15" fillId="20" borderId="19" xfId="0" applyFont="1" applyFill="1" applyBorder="1" applyAlignment="1">
      <alignment vertical="center" wrapText="1"/>
    </xf>
    <xf numFmtId="0" fontId="15" fillId="20" borderId="21" xfId="0" applyFont="1" applyFill="1" applyBorder="1" applyAlignment="1">
      <alignment vertical="center" wrapText="1"/>
    </xf>
    <xf numFmtId="0" fontId="15" fillId="7" borderId="16" xfId="0" applyFont="1" applyFill="1" applyBorder="1" applyAlignment="1">
      <alignment vertical="center" wrapText="1"/>
    </xf>
    <xf numFmtId="0" fontId="15" fillId="7" borderId="17" xfId="0" applyFont="1" applyFill="1" applyBorder="1" applyAlignment="1">
      <alignment vertical="center" wrapText="1"/>
    </xf>
    <xf numFmtId="0" fontId="15" fillId="7" borderId="18" xfId="0" applyFont="1" applyFill="1" applyBorder="1" applyAlignment="1">
      <alignment vertical="center" wrapText="1"/>
    </xf>
    <xf numFmtId="0" fontId="15" fillId="7" borderId="19" xfId="0" applyFont="1" applyFill="1" applyBorder="1" applyAlignment="1">
      <alignment vertical="center" wrapText="1"/>
    </xf>
    <xf numFmtId="0" fontId="15" fillId="7" borderId="21" xfId="0" applyFont="1" applyFill="1" applyBorder="1" applyAlignment="1">
      <alignment vertical="center" wrapText="1"/>
    </xf>
    <xf numFmtId="0" fontId="15" fillId="15" borderId="16" xfId="0" applyFont="1" applyFill="1" applyBorder="1" applyAlignment="1">
      <alignment vertical="center" wrapText="1"/>
    </xf>
    <xf numFmtId="0" fontId="15" fillId="15" borderId="17" xfId="0" applyFont="1" applyFill="1" applyBorder="1" applyAlignment="1">
      <alignment vertical="center" wrapText="1"/>
    </xf>
    <xf numFmtId="0" fontId="15" fillId="15" borderId="18" xfId="0" applyFont="1" applyFill="1" applyBorder="1" applyAlignment="1">
      <alignment vertical="center" wrapText="1"/>
    </xf>
    <xf numFmtId="0" fontId="15" fillId="15" borderId="19" xfId="0" applyFont="1" applyFill="1" applyBorder="1" applyAlignment="1">
      <alignment vertical="center" wrapText="1"/>
    </xf>
    <xf numFmtId="0" fontId="15" fillId="15" borderId="21" xfId="0" applyFont="1" applyFill="1" applyBorder="1" applyAlignment="1">
      <alignment vertical="center" wrapText="1"/>
    </xf>
    <xf numFmtId="0" fontId="15" fillId="18" borderId="16" xfId="0" applyFont="1" applyFill="1" applyBorder="1" applyAlignment="1">
      <alignment vertical="center" wrapText="1"/>
    </xf>
    <xf numFmtId="0" fontId="15" fillId="18" borderId="17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vertical="center" wrapText="1"/>
    </xf>
    <xf numFmtId="0" fontId="15" fillId="18" borderId="19" xfId="0" applyFont="1" applyFill="1" applyBorder="1" applyAlignment="1">
      <alignment vertical="center" wrapText="1"/>
    </xf>
    <xf numFmtId="0" fontId="15" fillId="18" borderId="21" xfId="0" applyFont="1" applyFill="1" applyBorder="1" applyAlignment="1">
      <alignment vertical="center" wrapText="1"/>
    </xf>
    <xf numFmtId="0" fontId="15" fillId="17" borderId="16" xfId="0" applyFont="1" applyFill="1" applyBorder="1" applyAlignment="1">
      <alignment vertical="center" wrapText="1"/>
    </xf>
    <xf numFmtId="0" fontId="15" fillId="17" borderId="17" xfId="0" applyFont="1" applyFill="1" applyBorder="1" applyAlignment="1">
      <alignment vertical="center" wrapText="1"/>
    </xf>
    <xf numFmtId="0" fontId="15" fillId="17" borderId="18" xfId="0" applyFont="1" applyFill="1" applyBorder="1" applyAlignment="1">
      <alignment vertical="center" wrapText="1"/>
    </xf>
    <xf numFmtId="0" fontId="15" fillId="17" borderId="19" xfId="0" applyFont="1" applyFill="1" applyBorder="1" applyAlignment="1">
      <alignment vertical="center" wrapText="1"/>
    </xf>
    <xf numFmtId="0" fontId="15" fillId="17" borderId="21" xfId="0" applyFont="1" applyFill="1" applyBorder="1" applyAlignment="1">
      <alignment vertical="center" wrapText="1"/>
    </xf>
    <xf numFmtId="0" fontId="15" fillId="19" borderId="16" xfId="0" applyFont="1" applyFill="1" applyBorder="1" applyAlignment="1">
      <alignment vertical="center" wrapText="1"/>
    </xf>
    <xf numFmtId="0" fontId="15" fillId="19" borderId="17" xfId="0" applyFont="1" applyFill="1" applyBorder="1" applyAlignment="1">
      <alignment vertical="center" wrapText="1"/>
    </xf>
    <xf numFmtId="0" fontId="15" fillId="19" borderId="18" xfId="0" applyFont="1" applyFill="1" applyBorder="1" applyAlignment="1">
      <alignment vertical="center" wrapText="1"/>
    </xf>
    <xf numFmtId="0" fontId="15" fillId="19" borderId="19" xfId="0" applyFont="1" applyFill="1" applyBorder="1" applyAlignment="1">
      <alignment vertical="center" wrapText="1"/>
    </xf>
    <xf numFmtId="0" fontId="15" fillId="19" borderId="21" xfId="0" applyFont="1" applyFill="1" applyBorder="1" applyAlignment="1">
      <alignment vertical="center" wrapText="1"/>
    </xf>
    <xf numFmtId="0" fontId="12" fillId="16" borderId="38" xfId="0" applyFont="1" applyFill="1" applyBorder="1" applyAlignment="1">
      <alignment horizontal="center" vertical="center" wrapText="1"/>
    </xf>
    <xf numFmtId="0" fontId="12" fillId="16" borderId="37" xfId="0" applyFont="1" applyFill="1" applyBorder="1" applyAlignment="1">
      <alignment horizontal="center" vertical="center" wrapText="1"/>
    </xf>
    <xf numFmtId="0" fontId="21" fillId="20" borderId="14" xfId="0" applyFont="1" applyFill="1" applyBorder="1" applyAlignment="1">
      <alignment vertical="center" wrapText="1"/>
    </xf>
    <xf numFmtId="0" fontId="21" fillId="7" borderId="14" xfId="0" applyFont="1" applyFill="1" applyBorder="1" applyAlignment="1">
      <alignment vertical="center" wrapText="1"/>
    </xf>
    <xf numFmtId="0" fontId="21" fillId="17" borderId="14" xfId="0" applyFont="1" applyFill="1" applyBorder="1" applyAlignment="1">
      <alignment vertical="center" wrapText="1"/>
    </xf>
    <xf numFmtId="0" fontId="21" fillId="15" borderId="14" xfId="0" applyFont="1" applyFill="1" applyBorder="1" applyAlignment="1">
      <alignment vertical="center" wrapText="1"/>
    </xf>
    <xf numFmtId="0" fontId="21" fillId="18" borderId="14" xfId="0" applyFont="1" applyFill="1" applyBorder="1" applyAlignment="1">
      <alignment vertical="center" wrapText="1"/>
    </xf>
    <xf numFmtId="0" fontId="21" fillId="19" borderId="14" xfId="0" applyFont="1" applyFill="1" applyBorder="1" applyAlignment="1">
      <alignment vertical="center" wrapText="1"/>
    </xf>
    <xf numFmtId="3" fontId="15" fillId="0" borderId="10" xfId="0" applyNumberFormat="1" applyFont="1" applyBorder="1"/>
    <xf numFmtId="10" fontId="15" fillId="0" borderId="34" xfId="1" applyNumberFormat="1" applyFont="1" applyBorder="1"/>
    <xf numFmtId="0" fontId="2" fillId="5" borderId="40" xfId="2" applyFont="1" applyFill="1" applyBorder="1" applyAlignment="1" applyProtection="1">
      <alignment horizontal="right" vertical="center" wrapText="1"/>
    </xf>
    <xf numFmtId="0" fontId="6" fillId="5" borderId="0" xfId="2" applyBorder="1" applyAlignment="1">
      <alignment horizontal="left"/>
    </xf>
    <xf numFmtId="9" fontId="1" fillId="22" borderId="3" xfId="1" applyFont="1" applyFill="1" applyBorder="1" applyAlignment="1" applyProtection="1">
      <alignment vertical="center" wrapText="1"/>
    </xf>
    <xf numFmtId="0" fontId="1" fillId="22" borderId="3" xfId="2" applyFont="1" applyFill="1" applyBorder="1" applyAlignment="1" applyProtection="1">
      <alignment horizontal="right" vertical="center" wrapText="1"/>
    </xf>
    <xf numFmtId="9" fontId="23" fillId="21" borderId="3" xfId="1" applyFont="1" applyFill="1" applyBorder="1" applyAlignment="1" applyProtection="1">
      <alignment vertical="center" wrapText="1"/>
    </xf>
    <xf numFmtId="0" fontId="23" fillId="21" borderId="3" xfId="2" applyFont="1" applyFill="1" applyBorder="1" applyAlignment="1" applyProtection="1">
      <alignment vertical="center" wrapText="1"/>
    </xf>
    <xf numFmtId="0" fontId="7" fillId="5" borderId="0" xfId="2" applyFont="1" applyBorder="1"/>
    <xf numFmtId="0" fontId="22" fillId="21" borderId="7" xfId="2" applyFont="1" applyFill="1" applyBorder="1" applyAlignment="1"/>
    <xf numFmtId="0" fontId="0" fillId="9" borderId="7" xfId="2" applyFont="1" applyFill="1" applyBorder="1" applyAlignment="1"/>
    <xf numFmtId="0" fontId="7" fillId="22" borderId="9" xfId="2" applyFont="1" applyFill="1" applyBorder="1" applyAlignment="1">
      <alignment horizontal="left"/>
    </xf>
    <xf numFmtId="0" fontId="1" fillId="2" borderId="0" xfId="2" applyFont="1" applyFill="1" applyBorder="1" applyAlignment="1" applyProtection="1">
      <alignment horizontal="center" vertical="center"/>
    </xf>
    <xf numFmtId="0" fontId="2" fillId="5" borderId="0" xfId="2" applyFont="1" applyFill="1" applyBorder="1" applyAlignment="1" applyProtection="1">
      <alignment vertical="center" wrapText="1"/>
    </xf>
    <xf numFmtId="9" fontId="2" fillId="5" borderId="0" xfId="1" applyFont="1" applyFill="1" applyBorder="1" applyAlignment="1" applyProtection="1">
      <alignment vertical="center" wrapText="1"/>
    </xf>
    <xf numFmtId="0" fontId="2" fillId="5" borderId="0" xfId="2" applyFont="1" applyFill="1" applyBorder="1" applyAlignment="1" applyProtection="1">
      <alignment horizontal="right" vertical="center" wrapText="1"/>
    </xf>
    <xf numFmtId="9" fontId="23" fillId="21" borderId="0" xfId="1" applyFont="1" applyFill="1" applyBorder="1" applyAlignment="1" applyProtection="1">
      <alignment vertical="center" wrapText="1"/>
    </xf>
    <xf numFmtId="0" fontId="23" fillId="21" borderId="0" xfId="2" applyFont="1" applyFill="1" applyBorder="1" applyAlignment="1" applyProtection="1">
      <alignment vertical="center" wrapText="1"/>
    </xf>
    <xf numFmtId="9" fontId="1" fillId="22" borderId="0" xfId="1" applyFont="1" applyFill="1" applyBorder="1" applyAlignment="1" applyProtection="1">
      <alignment vertical="center" wrapText="1"/>
    </xf>
    <xf numFmtId="9" fontId="2" fillId="11" borderId="0" xfId="1" applyFont="1" applyFill="1" applyBorder="1" applyAlignment="1" applyProtection="1">
      <alignment vertical="center" wrapText="1"/>
    </xf>
    <xf numFmtId="0" fontId="2" fillId="11" borderId="0" xfId="2" applyFont="1" applyFill="1" applyBorder="1" applyAlignment="1" applyProtection="1">
      <alignment vertical="center" wrapText="1"/>
    </xf>
    <xf numFmtId="0" fontId="1" fillId="22" borderId="0" xfId="2" applyFont="1" applyFill="1" applyBorder="1" applyAlignment="1" applyProtection="1">
      <alignment horizontal="right" vertical="center" wrapText="1"/>
    </xf>
    <xf numFmtId="0" fontId="1" fillId="2" borderId="7" xfId="2" applyFont="1" applyFill="1" applyBorder="1" applyAlignment="1" applyProtection="1">
      <alignment horizontal="center" vertical="center"/>
    </xf>
    <xf numFmtId="0" fontId="1" fillId="2" borderId="8" xfId="2" applyFont="1" applyFill="1" applyBorder="1" applyAlignment="1" applyProtection="1">
      <alignment horizontal="center" vertical="center"/>
    </xf>
    <xf numFmtId="0" fontId="2" fillId="5" borderId="7" xfId="2" applyFont="1" applyFill="1" applyBorder="1" applyAlignment="1" applyProtection="1">
      <alignment vertical="center" wrapText="1"/>
    </xf>
    <xf numFmtId="0" fontId="2" fillId="5" borderId="8" xfId="2" applyFont="1" applyFill="1" applyBorder="1" applyAlignment="1" applyProtection="1">
      <alignment horizontal="right" vertical="center" wrapText="1"/>
    </xf>
    <xf numFmtId="166" fontId="6" fillId="5" borderId="0" xfId="1" applyNumberFormat="1" applyFill="1" applyBorder="1"/>
    <xf numFmtId="0" fontId="0" fillId="13" borderId="7" xfId="2" applyFont="1" applyFill="1" applyBorder="1"/>
    <xf numFmtId="0" fontId="2" fillId="13" borderId="0" xfId="2" applyFont="1" applyFill="1" applyBorder="1" applyAlignment="1" applyProtection="1">
      <alignment vertical="center" wrapText="1"/>
    </xf>
    <xf numFmtId="9" fontId="2" fillId="13" borderId="0" xfId="1" applyFont="1" applyFill="1" applyBorder="1" applyAlignment="1" applyProtection="1">
      <alignment vertical="center" wrapText="1"/>
    </xf>
    <xf numFmtId="0" fontId="2" fillId="13" borderId="3" xfId="2" applyFont="1" applyFill="1" applyBorder="1" applyAlignment="1" applyProtection="1">
      <alignment vertical="center" wrapText="1"/>
    </xf>
    <xf numFmtId="9" fontId="2" fillId="13" borderId="3" xfId="1" applyFont="1" applyFill="1" applyBorder="1" applyAlignment="1" applyProtection="1">
      <alignment vertical="center" wrapText="1"/>
    </xf>
    <xf numFmtId="9" fontId="2" fillId="22" borderId="3" xfId="1" applyFont="1" applyFill="1" applyBorder="1" applyAlignment="1" applyProtection="1">
      <alignment vertical="center" wrapText="1"/>
    </xf>
    <xf numFmtId="0" fontId="2" fillId="22" borderId="3" xfId="2" applyFont="1" applyFill="1" applyBorder="1" applyAlignment="1" applyProtection="1">
      <alignment horizontal="right" vertical="center" wrapText="1"/>
    </xf>
    <xf numFmtId="9" fontId="1" fillId="23" borderId="3" xfId="1" applyFont="1" applyFill="1" applyBorder="1" applyAlignment="1" applyProtection="1">
      <alignment vertical="center" wrapText="1"/>
    </xf>
    <xf numFmtId="0" fontId="1" fillId="5" borderId="27" xfId="2" applyFont="1" applyFill="1" applyBorder="1" applyAlignment="1" applyProtection="1">
      <alignment vertical="center" wrapText="1"/>
    </xf>
    <xf numFmtId="0" fontId="1" fillId="5" borderId="3" xfId="2" applyFont="1" applyFill="1" applyBorder="1" applyAlignment="1" applyProtection="1">
      <alignment vertical="center" wrapText="1"/>
    </xf>
    <xf numFmtId="9" fontId="1" fillId="5" borderId="3" xfId="1" applyFont="1" applyFill="1" applyBorder="1" applyAlignment="1" applyProtection="1">
      <alignment vertical="center" wrapText="1"/>
    </xf>
    <xf numFmtId="0" fontId="1" fillId="5" borderId="13" xfId="2" applyFont="1" applyFill="1" applyBorder="1" applyAlignment="1" applyProtection="1">
      <alignment vertical="center" wrapText="1"/>
    </xf>
    <xf numFmtId="0" fontId="1" fillId="5" borderId="23" xfId="2" applyFont="1" applyFill="1" applyBorder="1" applyAlignment="1" applyProtection="1">
      <alignment horizontal="right" vertical="center" wrapText="1"/>
    </xf>
    <xf numFmtId="0" fontId="1" fillId="5" borderId="3" xfId="2" applyFont="1" applyFill="1" applyBorder="1" applyAlignment="1" applyProtection="1">
      <alignment horizontal="right" vertical="center" wrapText="1"/>
    </xf>
    <xf numFmtId="0" fontId="1" fillId="5" borderId="28" xfId="2" applyFont="1" applyFill="1" applyBorder="1" applyAlignment="1" applyProtection="1">
      <alignment horizontal="right" vertical="center" wrapText="1"/>
    </xf>
    <xf numFmtId="0" fontId="1" fillId="23" borderId="43" xfId="2" applyFont="1" applyFill="1" applyBorder="1" applyAlignment="1" applyProtection="1">
      <alignment horizontal="right" vertical="center" wrapText="1"/>
    </xf>
    <xf numFmtId="0" fontId="7" fillId="5" borderId="10" xfId="2" applyFont="1" applyBorder="1"/>
    <xf numFmtId="0" fontId="2" fillId="22" borderId="22" xfId="2" applyFont="1" applyFill="1" applyBorder="1" applyAlignment="1" applyProtection="1">
      <alignment horizontal="right" vertical="center" wrapText="1"/>
    </xf>
    <xf numFmtId="9" fontId="23" fillId="8" borderId="3" xfId="1" applyFont="1" applyFill="1" applyBorder="1" applyAlignment="1" applyProtection="1">
      <alignment vertical="center" wrapText="1"/>
    </xf>
    <xf numFmtId="0" fontId="23" fillId="8" borderId="3" xfId="2" applyFont="1" applyFill="1" applyBorder="1" applyAlignment="1" applyProtection="1">
      <alignment vertical="center" wrapText="1"/>
    </xf>
    <xf numFmtId="9" fontId="23" fillId="21" borderId="22" xfId="1" applyFont="1" applyFill="1" applyBorder="1" applyAlignment="1" applyProtection="1">
      <alignment vertical="center" wrapText="1"/>
    </xf>
    <xf numFmtId="9" fontId="23" fillId="21" borderId="24" xfId="1" applyFont="1" applyFill="1" applyBorder="1" applyAlignment="1" applyProtection="1">
      <alignment vertical="center" wrapText="1"/>
    </xf>
    <xf numFmtId="0" fontId="1" fillId="13" borderId="23" xfId="2" applyFont="1" applyFill="1" applyBorder="1" applyAlignment="1" applyProtection="1">
      <alignment vertical="center" wrapText="1"/>
    </xf>
    <xf numFmtId="9" fontId="1" fillId="23" borderId="43" xfId="1" applyFont="1" applyFill="1" applyBorder="1" applyAlignment="1" applyProtection="1">
      <alignment vertical="center" wrapText="1"/>
    </xf>
    <xf numFmtId="0" fontId="1" fillId="22" borderId="22" xfId="2" applyFont="1" applyFill="1" applyBorder="1" applyAlignment="1" applyProtection="1">
      <alignment horizontal="right" vertical="center" wrapText="1"/>
    </xf>
    <xf numFmtId="167" fontId="6" fillId="5" borderId="39" xfId="3" applyNumberFormat="1" applyFill="1" applyBorder="1"/>
    <xf numFmtId="167" fontId="6" fillId="5" borderId="41" xfId="3" applyNumberFormat="1" applyFill="1" applyBorder="1"/>
    <xf numFmtId="165" fontId="6" fillId="5" borderId="39" xfId="3" applyNumberFormat="1" applyFill="1" applyBorder="1"/>
    <xf numFmtId="165" fontId="6" fillId="5" borderId="41" xfId="3" applyNumberFormat="1" applyFill="1" applyBorder="1"/>
    <xf numFmtId="165" fontId="6" fillId="5" borderId="39" xfId="3" applyNumberFormat="1" applyFont="1" applyFill="1" applyBorder="1"/>
    <xf numFmtId="165" fontId="6" fillId="5" borderId="41" xfId="3" applyNumberFormat="1" applyFont="1" applyFill="1" applyBorder="1"/>
    <xf numFmtId="165" fontId="6" fillId="5" borderId="42" xfId="3" applyNumberFormat="1" applyFill="1" applyBorder="1"/>
    <xf numFmtId="0" fontId="7" fillId="0" borderId="0" xfId="0" applyFont="1"/>
    <xf numFmtId="0" fontId="7" fillId="0" borderId="17" xfId="0" applyFont="1" applyBorder="1"/>
    <xf numFmtId="0" fontId="7" fillId="0" borderId="18" xfId="0" applyFont="1" applyBorder="1"/>
    <xf numFmtId="0" fontId="13" fillId="5" borderId="0" xfId="2" applyFont="1" applyBorder="1"/>
    <xf numFmtId="166" fontId="13" fillId="5" borderId="0" xfId="1" applyNumberFormat="1" applyFont="1" applyFill="1" applyBorder="1"/>
    <xf numFmtId="0" fontId="24" fillId="8" borderId="25" xfId="0" applyFont="1" applyFill="1" applyBorder="1"/>
    <xf numFmtId="9" fontId="24" fillId="8" borderId="35" xfId="1" applyNumberFormat="1" applyFont="1" applyFill="1" applyBorder="1"/>
    <xf numFmtId="0" fontId="15" fillId="13" borderId="25" xfId="0" applyFont="1" applyFill="1" applyBorder="1"/>
    <xf numFmtId="9" fontId="15" fillId="13" borderId="35" xfId="1" applyFont="1" applyFill="1" applyBorder="1"/>
    <xf numFmtId="0" fontId="25" fillId="6" borderId="5" xfId="0" applyFont="1" applyFill="1" applyBorder="1"/>
    <xf numFmtId="9" fontId="13" fillId="0" borderId="0" xfId="1" applyFont="1" applyBorder="1"/>
    <xf numFmtId="0" fontId="13" fillId="0" borderId="0" xfId="0" applyFont="1" applyBorder="1"/>
    <xf numFmtId="9" fontId="13" fillId="0" borderId="20" xfId="1" applyFont="1" applyBorder="1"/>
    <xf numFmtId="0" fontId="13" fillId="0" borderId="20" xfId="0" applyFont="1" applyBorder="1"/>
    <xf numFmtId="0" fontId="26" fillId="0" borderId="0" xfId="0" applyFont="1" applyBorder="1"/>
    <xf numFmtId="0" fontId="26" fillId="0" borderId="20" xfId="0" applyFont="1" applyBorder="1"/>
    <xf numFmtId="0" fontId="7" fillId="5" borderId="0" xfId="2" applyFont="1" applyBorder="1" applyAlignment="1">
      <alignment horizontal="left"/>
    </xf>
    <xf numFmtId="0" fontId="13" fillId="5" borderId="0" xfId="2" applyNumberFormat="1" applyFont="1" applyBorder="1"/>
    <xf numFmtId="10" fontId="6" fillId="5" borderId="10" xfId="2" applyNumberFormat="1" applyBorder="1"/>
    <xf numFmtId="0" fontId="26" fillId="5" borderId="0" xfId="2" applyNumberFormat="1" applyFont="1" applyBorder="1"/>
    <xf numFmtId="165" fontId="7" fillId="5" borderId="0" xfId="2" applyNumberFormat="1" applyFont="1" applyBorder="1"/>
    <xf numFmtId="0" fontId="9" fillId="6" borderId="0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0" fillId="0" borderId="4" xfId="2" applyFont="1" applyFill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Fill="1" applyBorder="1" applyAlignment="1">
      <alignment horizontal="center"/>
    </xf>
    <xf numFmtId="0" fontId="10" fillId="5" borderId="4" xfId="2" applyFont="1" applyBorder="1" applyAlignment="1">
      <alignment horizontal="center"/>
    </xf>
    <xf numFmtId="0" fontId="10" fillId="5" borderId="5" xfId="2" applyFont="1" applyBorder="1" applyAlignment="1">
      <alignment horizontal="center"/>
    </xf>
    <xf numFmtId="0" fontId="10" fillId="5" borderId="6" xfId="2" applyFont="1" applyBorder="1" applyAlignment="1">
      <alignment horizontal="center"/>
    </xf>
    <xf numFmtId="10" fontId="6" fillId="5" borderId="0" xfId="2" applyNumberFormat="1"/>
  </cellXfs>
  <cellStyles count="8">
    <cellStyle name="Comma" xfId="3" builtinId="3"/>
    <cellStyle name="Followed Hyperlink" xfId="5" builtinId="9" hidden="1"/>
    <cellStyle name="Followed Hyperlink" xfId="7" builtinId="9" hidden="1"/>
    <cellStyle name="Hyperlink" xfId="4" builtinId="8" hidden="1"/>
    <cellStyle name="Hyperlink" xfId="6" builtinId="8" hidden="1"/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Light16"/>
  <colors>
    <mruColors>
      <color rgb="FFE1EACE"/>
      <color rgb="FFF5E4E3"/>
      <color rgb="FFEEC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435843</xdr:colOff>
      <xdr:row>4</xdr:row>
      <xdr:rowOff>161925</xdr:rowOff>
    </xdr:from>
    <xdr:to>
      <xdr:col>16</xdr:col>
      <xdr:colOff>78506</xdr:colOff>
      <xdr:row>40</xdr:row>
      <xdr:rowOff>34925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43" y="1495425"/>
          <a:ext cx="8786663" cy="673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247650</xdr:rowOff>
    </xdr:from>
    <xdr:to>
      <xdr:col>8</xdr:col>
      <xdr:colOff>561975</xdr:colOff>
      <xdr:row>4</xdr:row>
      <xdr:rowOff>85725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247650"/>
          <a:ext cx="4381500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pageSetUpPr fitToPage="1"/>
  </sheetPr>
  <dimension ref="A1:R42"/>
  <sheetViews>
    <sheetView topLeftCell="B49" workbookViewId="0">
      <selection activeCell="B1" sqref="B1"/>
    </sheetView>
  </sheetViews>
  <sheetFormatPr baseColWidth="10" defaultColWidth="8.83203125" defaultRowHeight="14" x14ac:dyDescent="0"/>
  <sheetData>
    <row r="1" spans="1:18">
      <c r="A1" s="7"/>
      <c r="B1" s="211" t="s">
        <v>1218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1:18" ht="45">
      <c r="A2" s="10"/>
      <c r="B2" s="223" t="s">
        <v>1142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11"/>
      <c r="Q2" s="11"/>
      <c r="R2" s="12"/>
    </row>
    <row r="3" spans="1:18" ht="28">
      <c r="A3" s="10"/>
      <c r="B3" s="224" t="s">
        <v>1196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11"/>
      <c r="Q3" s="11"/>
      <c r="R3" s="12"/>
    </row>
    <row r="4" spans="1:18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spans="1:18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spans="1:18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spans="1:18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</row>
    <row r="11" spans="1:18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</row>
    <row r="12" spans="1:18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</row>
    <row r="13" spans="1:18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/>
    </row>
    <row r="14" spans="1:18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</row>
    <row r="15" spans="1:18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/>
    </row>
    <row r="16" spans="1:18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/>
    </row>
    <row r="17" spans="1:18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</row>
    <row r="18" spans="1:18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/>
    </row>
    <row r="19" spans="1:18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2"/>
    </row>
    <row r="20" spans="1:18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2"/>
    </row>
    <row r="21" spans="1:18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</row>
    <row r="22" spans="1:18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2"/>
    </row>
    <row r="23" spans="1:18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2"/>
    </row>
    <row r="24" spans="1:18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/>
    </row>
    <row r="25" spans="1:18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2"/>
    </row>
    <row r="26" spans="1:18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2"/>
    </row>
    <row r="27" spans="1:18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/>
    </row>
    <row r="28" spans="1:18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2"/>
    </row>
    <row r="29" spans="1:18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2"/>
    </row>
    <row r="30" spans="1:18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</row>
    <row r="31" spans="1:18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2"/>
    </row>
    <row r="32" spans="1:18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2"/>
    </row>
    <row r="33" spans="1:18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2"/>
    </row>
    <row r="34" spans="1:18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2"/>
    </row>
    <row r="35" spans="1:18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2"/>
    </row>
    <row r="36" spans="1:18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2"/>
    </row>
    <row r="37" spans="1:18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2"/>
    </row>
    <row r="38" spans="1:18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"/>
    </row>
    <row r="39" spans="1:18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2"/>
    </row>
    <row r="40" spans="1:18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2"/>
    </row>
    <row r="41" spans="1:18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2"/>
    </row>
    <row r="42" spans="1:18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5"/>
    </row>
  </sheetData>
  <mergeCells count="2">
    <mergeCell ref="B2:O2"/>
    <mergeCell ref="B3:O3"/>
  </mergeCells>
  <printOptions horizontalCentered="1"/>
  <pageMargins left="0.2" right="0.2" top="0.75" bottom="0.75" header="0.3" footer="0.3"/>
  <pageSetup scale="77" orientation="landscape"/>
  <headerFooter>
    <oddHeader>&amp;CNTD Trend Report Per Section</oddHead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2:F21"/>
  <sheetViews>
    <sheetView workbookViewId="0"/>
  </sheetViews>
  <sheetFormatPr baseColWidth="10" defaultColWidth="8.83203125" defaultRowHeight="14" x14ac:dyDescent="0"/>
  <cols>
    <col min="2" max="2" width="17.5" customWidth="1"/>
    <col min="3" max="3" width="26.5" bestFit="1" customWidth="1"/>
    <col min="4" max="4" width="3.33203125" customWidth="1"/>
    <col min="5" max="5" width="20.33203125" customWidth="1"/>
    <col min="6" max="6" width="27" customWidth="1"/>
  </cols>
  <sheetData>
    <row r="2" spans="2:6" ht="15" thickBot="1"/>
    <row r="3" spans="2:6" ht="24" thickBot="1">
      <c r="B3" s="135" t="s">
        <v>1197</v>
      </c>
      <c r="C3" s="136" t="s">
        <v>1198</v>
      </c>
      <c r="E3" s="135" t="s">
        <v>1197</v>
      </c>
      <c r="F3" s="136" t="s">
        <v>1198</v>
      </c>
    </row>
    <row r="4" spans="2:6" ht="18">
      <c r="B4" s="137" t="s">
        <v>27</v>
      </c>
      <c r="C4" s="105" t="s">
        <v>26</v>
      </c>
      <c r="E4" s="140" t="s">
        <v>1204</v>
      </c>
      <c r="F4" s="115" t="s">
        <v>225</v>
      </c>
    </row>
    <row r="5" spans="2:6" ht="18">
      <c r="B5" s="106"/>
      <c r="C5" s="107" t="s">
        <v>125</v>
      </c>
      <c r="E5" s="116"/>
      <c r="F5" s="117" t="s">
        <v>266</v>
      </c>
    </row>
    <row r="6" spans="2:6" ht="18">
      <c r="B6" s="106"/>
      <c r="C6" s="107" t="s">
        <v>695</v>
      </c>
      <c r="E6" s="116"/>
      <c r="F6" s="117" t="s">
        <v>870</v>
      </c>
    </row>
    <row r="7" spans="2:6" ht="19" thickBot="1">
      <c r="B7" s="108"/>
      <c r="C7" s="109" t="s">
        <v>1096</v>
      </c>
      <c r="E7" s="118"/>
      <c r="F7" s="119" t="s">
        <v>960</v>
      </c>
    </row>
    <row r="8" spans="2:6" ht="19" thickBot="1">
      <c r="B8" s="104"/>
      <c r="C8" s="104"/>
    </row>
    <row r="9" spans="2:6" ht="18">
      <c r="B9" s="138" t="s">
        <v>177</v>
      </c>
      <c r="C9" s="110" t="s">
        <v>175</v>
      </c>
      <c r="E9" s="141" t="s">
        <v>1202</v>
      </c>
      <c r="F9" s="120" t="s">
        <v>1203</v>
      </c>
    </row>
    <row r="10" spans="2:6" ht="18">
      <c r="B10" s="111"/>
      <c r="C10" s="112" t="s">
        <v>510</v>
      </c>
      <c r="E10" s="121"/>
      <c r="F10" s="122" t="s">
        <v>101</v>
      </c>
    </row>
    <row r="11" spans="2:6" ht="18">
      <c r="B11" s="111"/>
      <c r="C11" s="112" t="s">
        <v>1199</v>
      </c>
      <c r="E11" s="121"/>
      <c r="F11" s="122" t="s">
        <v>470</v>
      </c>
    </row>
    <row r="12" spans="2:6" ht="18">
      <c r="B12" s="111"/>
      <c r="C12" s="112" t="s">
        <v>1200</v>
      </c>
      <c r="E12" s="121"/>
      <c r="F12" s="122" t="s">
        <v>734</v>
      </c>
    </row>
    <row r="13" spans="2:6" ht="18">
      <c r="B13" s="111"/>
      <c r="C13" s="112" t="s">
        <v>607</v>
      </c>
      <c r="E13" s="121"/>
      <c r="F13" s="122" t="s">
        <v>1015</v>
      </c>
    </row>
    <row r="14" spans="2:6" ht="19" thickBot="1">
      <c r="B14" s="111"/>
      <c r="C14" s="112" t="s">
        <v>640</v>
      </c>
      <c r="E14" s="123"/>
      <c r="F14" s="124" t="s">
        <v>1056</v>
      </c>
    </row>
    <row r="15" spans="2:6" ht="19" thickBot="1">
      <c r="B15" s="113"/>
      <c r="C15" s="114" t="s">
        <v>5</v>
      </c>
      <c r="E15" s="104"/>
      <c r="F15" s="104"/>
    </row>
    <row r="16" spans="2:6" ht="19" thickBot="1">
      <c r="B16" s="104"/>
      <c r="C16" s="104"/>
    </row>
    <row r="17" spans="2:6" ht="18">
      <c r="B17" s="139" t="s">
        <v>356</v>
      </c>
      <c r="C17" s="125" t="s">
        <v>354</v>
      </c>
      <c r="E17" s="142" t="s">
        <v>1205</v>
      </c>
      <c r="F17" s="130" t="s">
        <v>320</v>
      </c>
    </row>
    <row r="18" spans="2:6" ht="18">
      <c r="B18" s="126"/>
      <c r="C18" s="127" t="s">
        <v>1201</v>
      </c>
      <c r="E18" s="131"/>
      <c r="F18" s="132" t="s">
        <v>450</v>
      </c>
    </row>
    <row r="19" spans="2:6" ht="19" thickBot="1">
      <c r="B19" s="126"/>
      <c r="C19" s="127" t="s">
        <v>775</v>
      </c>
      <c r="E19" s="133"/>
      <c r="F19" s="134" t="s">
        <v>918</v>
      </c>
    </row>
    <row r="20" spans="2:6" ht="19" thickBot="1">
      <c r="B20" s="128"/>
      <c r="C20" s="129" t="s">
        <v>820</v>
      </c>
    </row>
    <row r="21" spans="2:6" ht="18">
      <c r="B21" s="104"/>
      <c r="C21" s="104"/>
    </row>
  </sheetData>
  <sortState ref="C17:C20">
    <sortCondition ref="C17"/>
  </sortState>
  <printOptions horizontalCentered="1"/>
  <pageMargins left="0.2" right="0.2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K23"/>
  <sheetViews>
    <sheetView workbookViewId="0">
      <selection activeCell="P9" sqref="P9"/>
    </sheetView>
  </sheetViews>
  <sheetFormatPr baseColWidth="10" defaultColWidth="8.83203125" defaultRowHeight="14" x14ac:dyDescent="0"/>
  <cols>
    <col min="2" max="2" width="10" customWidth="1"/>
    <col min="3" max="3" width="13.1640625" customWidth="1"/>
    <col min="4" max="4" width="9.6640625" customWidth="1"/>
    <col min="5" max="5" width="9.5" customWidth="1"/>
    <col min="6" max="6" width="9.6640625" customWidth="1"/>
    <col min="7" max="7" width="10.5" customWidth="1"/>
    <col min="8" max="8" width="9.5" customWidth="1"/>
    <col min="9" max="9" width="11.6640625" customWidth="1"/>
    <col min="10" max="11" width="9.5" customWidth="1"/>
  </cols>
  <sheetData>
    <row r="1" spans="2:11" ht="27" customHeight="1"/>
    <row r="2" spans="2:11" ht="41.25" customHeight="1"/>
    <row r="3" spans="2:11" ht="36" customHeight="1"/>
    <row r="6" spans="2:11" ht="20">
      <c r="B6" s="225" t="s">
        <v>1194</v>
      </c>
      <c r="C6" s="225"/>
      <c r="D6" s="225"/>
      <c r="E6" s="225"/>
      <c r="F6" s="225"/>
      <c r="G6" s="225"/>
      <c r="H6" s="225"/>
      <c r="I6" s="225"/>
      <c r="J6" s="225"/>
      <c r="K6" s="225"/>
    </row>
    <row r="7" spans="2:11">
      <c r="B7" s="1">
        <v>2013</v>
      </c>
      <c r="C7" s="1">
        <v>2012</v>
      </c>
      <c r="D7" s="1">
        <v>2011</v>
      </c>
      <c r="E7" s="1">
        <v>2010</v>
      </c>
      <c r="F7" s="1">
        <v>2009</v>
      </c>
      <c r="G7" s="1">
        <v>2008</v>
      </c>
      <c r="H7" s="1">
        <v>2007</v>
      </c>
      <c r="I7" s="1">
        <v>2006</v>
      </c>
      <c r="J7" s="1">
        <v>2005</v>
      </c>
      <c r="K7" s="1">
        <v>2004</v>
      </c>
    </row>
    <row r="8" spans="2:11">
      <c r="B8" s="73">
        <v>83760</v>
      </c>
      <c r="C8" s="74">
        <v>79978</v>
      </c>
      <c r="D8" s="75">
        <v>77120</v>
      </c>
      <c r="E8" s="76">
        <v>74829</v>
      </c>
      <c r="F8" s="77">
        <v>71457</v>
      </c>
      <c r="G8" s="77">
        <v>68684</v>
      </c>
      <c r="H8" s="77">
        <v>65839</v>
      </c>
      <c r="I8" s="77">
        <v>63814</v>
      </c>
      <c r="J8" s="77">
        <v>63488</v>
      </c>
      <c r="K8" s="77">
        <v>62935</v>
      </c>
    </row>
    <row r="9" spans="2:11">
      <c r="B9" s="95" t="s">
        <v>1217</v>
      </c>
      <c r="C9" s="93"/>
      <c r="D9" s="98">
        <f>B8-K8</f>
        <v>20825</v>
      </c>
      <c r="E9" s="96" t="s">
        <v>1195</v>
      </c>
      <c r="F9" s="97">
        <v>0.33090000000000003</v>
      </c>
      <c r="G9" s="93"/>
      <c r="H9" s="93"/>
      <c r="I9" s="93"/>
      <c r="J9" s="93"/>
      <c r="K9" s="94"/>
    </row>
    <row r="11" spans="2:11" ht="15" thickBot="1"/>
    <row r="12" spans="2:11" ht="20">
      <c r="B12" s="101" t="s">
        <v>1191</v>
      </c>
      <c r="C12" s="88"/>
      <c r="D12" s="89"/>
      <c r="E12" s="89"/>
      <c r="F12" s="89"/>
      <c r="G12" s="89"/>
      <c r="H12" s="89"/>
      <c r="I12" s="89"/>
      <c r="J12" s="90"/>
    </row>
    <row r="13" spans="2:11" ht="20">
      <c r="B13" s="83" t="s">
        <v>1206</v>
      </c>
      <c r="C13" s="65"/>
      <c r="D13" s="65"/>
      <c r="E13" s="65"/>
      <c r="F13" s="65"/>
      <c r="G13" s="65"/>
      <c r="H13" s="65"/>
      <c r="I13" s="143">
        <f>B8-C8</f>
        <v>3782</v>
      </c>
      <c r="J13" s="144">
        <v>4.7300000000000002E-2</v>
      </c>
    </row>
    <row r="14" spans="2:11" ht="20">
      <c r="B14" s="83" t="s">
        <v>1184</v>
      </c>
      <c r="C14" s="65"/>
      <c r="D14" s="65"/>
      <c r="E14" s="65"/>
      <c r="F14" s="65"/>
      <c r="G14" s="65"/>
      <c r="H14" s="65"/>
      <c r="I14" s="78">
        <v>537</v>
      </c>
      <c r="J14" s="91"/>
    </row>
    <row r="15" spans="2:11" ht="20">
      <c r="B15" s="84" t="s">
        <v>1186</v>
      </c>
      <c r="C15" s="79"/>
      <c r="D15" s="79"/>
      <c r="E15" s="79"/>
      <c r="F15" s="79"/>
      <c r="G15" s="79"/>
      <c r="H15" s="79"/>
      <c r="I15" s="80">
        <v>83760</v>
      </c>
      <c r="J15" s="91"/>
    </row>
    <row r="16" spans="2:11" ht="20">
      <c r="B16" s="84" t="s">
        <v>1187</v>
      </c>
      <c r="C16" s="79"/>
      <c r="D16" s="79"/>
      <c r="E16" s="79"/>
      <c r="F16" s="79"/>
      <c r="G16" s="79"/>
      <c r="H16" s="79"/>
      <c r="I16" s="92">
        <v>155.97765363128491</v>
      </c>
      <c r="J16" s="91"/>
    </row>
    <row r="17" spans="2:10" ht="20">
      <c r="B17" s="83" t="s">
        <v>1183</v>
      </c>
      <c r="C17" s="65"/>
      <c r="D17" s="65"/>
      <c r="E17" s="65"/>
      <c r="F17" s="65"/>
      <c r="G17" s="65"/>
      <c r="H17" s="65"/>
      <c r="I17" s="78">
        <v>335</v>
      </c>
      <c r="J17" s="85">
        <v>0.62380000000000002</v>
      </c>
    </row>
    <row r="18" spans="2:10" ht="20">
      <c r="B18" s="84" t="s">
        <v>1185</v>
      </c>
      <c r="C18" s="79"/>
      <c r="D18" s="79"/>
      <c r="E18" s="79"/>
      <c r="F18" s="79"/>
      <c r="G18" s="79"/>
      <c r="H18" s="79"/>
      <c r="I18" s="81">
        <v>178</v>
      </c>
      <c r="J18" s="86">
        <v>0.33150000000000002</v>
      </c>
    </row>
    <row r="19" spans="2:10" ht="20">
      <c r="B19" s="84" t="s">
        <v>1192</v>
      </c>
      <c r="C19" s="79"/>
      <c r="D19" s="79"/>
      <c r="E19" s="79"/>
      <c r="F19" s="79"/>
      <c r="G19" s="79"/>
      <c r="H19" s="79"/>
      <c r="I19" s="81">
        <v>24</v>
      </c>
      <c r="J19" s="86">
        <v>4.4699999999999997E-2</v>
      </c>
    </row>
    <row r="20" spans="2:10" ht="20">
      <c r="B20" s="84" t="s">
        <v>1188</v>
      </c>
      <c r="C20" s="82"/>
      <c r="D20" s="82"/>
      <c r="E20" s="82"/>
      <c r="F20" s="82"/>
      <c r="G20" s="82"/>
      <c r="H20" s="82"/>
      <c r="I20" s="209">
        <v>197</v>
      </c>
      <c r="J20" s="210">
        <v>0.38400000000000001</v>
      </c>
    </row>
    <row r="21" spans="2:10" ht="20">
      <c r="B21" s="84" t="s">
        <v>1189</v>
      </c>
      <c r="C21" s="79"/>
      <c r="D21" s="79"/>
      <c r="E21" s="79"/>
      <c r="F21" s="79"/>
      <c r="G21" s="79"/>
      <c r="H21" s="79"/>
      <c r="I21" s="99">
        <v>140</v>
      </c>
      <c r="J21" s="100">
        <v>0.27300000000000002</v>
      </c>
    </row>
    <row r="22" spans="2:10" ht="20">
      <c r="B22" s="84" t="s">
        <v>1190</v>
      </c>
      <c r="C22" s="79"/>
      <c r="D22" s="79"/>
      <c r="E22" s="79"/>
      <c r="F22" s="79"/>
      <c r="G22" s="79"/>
      <c r="H22" s="79"/>
      <c r="I22" s="207">
        <v>176</v>
      </c>
      <c r="J22" s="208">
        <v>0.34310000000000002</v>
      </c>
    </row>
    <row r="23" spans="2:10" ht="21" thickBot="1">
      <c r="B23" s="87" t="s">
        <v>1193</v>
      </c>
      <c r="C23" s="43"/>
      <c r="D23" s="43"/>
      <c r="E23" s="43"/>
      <c r="F23" s="43"/>
      <c r="G23" s="43"/>
      <c r="H23" s="43"/>
      <c r="I23" s="103">
        <v>24</v>
      </c>
      <c r="J23" s="102" t="s">
        <v>1154</v>
      </c>
    </row>
  </sheetData>
  <mergeCells count="1">
    <mergeCell ref="B6:K6"/>
  </mergeCells>
  <printOptions horizontalCentered="1"/>
  <pageMargins left="0.2" right="0.2" top="0.75" bottom="0.75" header="0.3" footer="0.3"/>
  <pageSetup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S69"/>
  <sheetViews>
    <sheetView topLeftCell="D11" workbookViewId="0">
      <selection activeCell="D15" sqref="D15:S17"/>
    </sheetView>
  </sheetViews>
  <sheetFormatPr baseColWidth="10" defaultColWidth="8.83203125" defaultRowHeight="14" x14ac:dyDescent="0"/>
  <cols>
    <col min="1" max="1" width="7.1640625" hidden="1" customWidth="1"/>
    <col min="2" max="2" width="7.5" hidden="1" customWidth="1"/>
    <col min="3" max="3" width="8.1640625" hidden="1" customWidth="1"/>
    <col min="4" max="4" width="42.6640625" customWidth="1"/>
    <col min="5" max="5" width="10.6640625" bestFit="1" customWidth="1"/>
    <col min="6" max="6" width="10" customWidth="1"/>
    <col min="7" max="7" width="20.5" customWidth="1"/>
    <col min="8" max="8" width="9.33203125" bestFit="1" customWidth="1"/>
    <col min="9" max="9" width="8.6640625" bestFit="1" customWidth="1"/>
    <col min="10" max="10" width="5.1640625" bestFit="1" customWidth="1"/>
    <col min="11" max="19" width="5" bestFit="1" customWidth="1"/>
  </cols>
  <sheetData>
    <row r="1" spans="1:19" ht="25">
      <c r="D1" s="226" t="s">
        <v>1151</v>
      </c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8"/>
    </row>
    <row r="2" spans="1:19">
      <c r="D2" s="28"/>
      <c r="E2" s="48" t="s">
        <v>1152</v>
      </c>
      <c r="F2" s="47" t="s">
        <v>1158</v>
      </c>
      <c r="G2" s="47"/>
      <c r="H2" s="47"/>
      <c r="I2" s="47"/>
      <c r="J2" s="21"/>
      <c r="K2" s="21"/>
      <c r="L2" s="21"/>
      <c r="M2" s="21"/>
      <c r="N2" s="21"/>
      <c r="O2" s="21"/>
      <c r="P2" s="21"/>
      <c r="Q2" s="21"/>
      <c r="R2" s="21"/>
      <c r="S2" s="29"/>
    </row>
    <row r="3" spans="1:19">
      <c r="D3" s="28"/>
      <c r="E3" s="20" t="s">
        <v>1153</v>
      </c>
      <c r="F3" s="21" t="str">
        <f>B5</f>
        <v>NA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9"/>
    </row>
    <row r="4" spans="1:19">
      <c r="A4" s="1" t="s">
        <v>0</v>
      </c>
      <c r="B4" s="1" t="s">
        <v>1</v>
      </c>
      <c r="C4" s="18" t="s">
        <v>1143</v>
      </c>
      <c r="D4" s="30" t="s">
        <v>2</v>
      </c>
      <c r="E4" s="22" t="s">
        <v>1144</v>
      </c>
      <c r="F4" s="22" t="s">
        <v>1145</v>
      </c>
      <c r="G4" s="22" t="s">
        <v>1146</v>
      </c>
      <c r="H4" s="22" t="s">
        <v>1156</v>
      </c>
      <c r="I4" s="22" t="s">
        <v>1155</v>
      </c>
      <c r="J4" s="22">
        <v>2013</v>
      </c>
      <c r="K4" s="22">
        <v>2012</v>
      </c>
      <c r="L4" s="22">
        <v>2011</v>
      </c>
      <c r="M4" s="22">
        <v>2010</v>
      </c>
      <c r="N4" s="22">
        <v>2009</v>
      </c>
      <c r="O4" s="22">
        <v>2008</v>
      </c>
      <c r="P4" s="22">
        <v>2007</v>
      </c>
      <c r="Q4" s="22">
        <v>2006</v>
      </c>
      <c r="R4" s="22">
        <v>2005</v>
      </c>
      <c r="S4" s="31">
        <v>2004</v>
      </c>
    </row>
    <row r="5" spans="1:19">
      <c r="A5" s="16" t="s">
        <v>1154</v>
      </c>
      <c r="B5" s="16" t="s">
        <v>1154</v>
      </c>
      <c r="C5" s="19">
        <v>1057223</v>
      </c>
      <c r="D5" s="32" t="s">
        <v>4</v>
      </c>
      <c r="E5" s="23" t="s">
        <v>5</v>
      </c>
      <c r="F5" s="24" t="s">
        <v>1148</v>
      </c>
      <c r="G5" s="23" t="s">
        <v>6</v>
      </c>
      <c r="H5" s="25">
        <f t="shared" ref="H5:H11" si="0">(J5-K5)/ABS(K5)</f>
        <v>3.28</v>
      </c>
      <c r="I5" s="23">
        <f t="shared" ref="I5:I11" si="1">J5-K5</f>
        <v>82</v>
      </c>
      <c r="J5" s="26">
        <v>107</v>
      </c>
      <c r="K5" s="27">
        <v>25</v>
      </c>
      <c r="L5" s="27">
        <v>46</v>
      </c>
      <c r="M5" s="27">
        <v>56</v>
      </c>
      <c r="N5" s="27">
        <v>62</v>
      </c>
      <c r="O5" s="27">
        <v>74</v>
      </c>
      <c r="P5" s="27">
        <v>74</v>
      </c>
      <c r="Q5" s="27">
        <v>86</v>
      </c>
      <c r="R5" s="27">
        <v>77</v>
      </c>
      <c r="S5" s="33">
        <v>79</v>
      </c>
    </row>
    <row r="6" spans="1:19">
      <c r="A6" s="2" t="s">
        <v>3</v>
      </c>
      <c r="B6" s="2" t="s">
        <v>3</v>
      </c>
      <c r="C6" s="19">
        <v>1521335</v>
      </c>
      <c r="D6" s="32" t="s">
        <v>7</v>
      </c>
      <c r="E6" s="23" t="s">
        <v>8</v>
      </c>
      <c r="F6" s="24" t="s">
        <v>1148</v>
      </c>
      <c r="G6" s="23" t="s">
        <v>9</v>
      </c>
      <c r="H6" s="25">
        <f t="shared" si="0"/>
        <v>0.36363636363636365</v>
      </c>
      <c r="I6" s="23">
        <f t="shared" si="1"/>
        <v>80</v>
      </c>
      <c r="J6" s="26">
        <v>300</v>
      </c>
      <c r="K6" s="27">
        <v>220</v>
      </c>
      <c r="L6" s="27">
        <v>134</v>
      </c>
      <c r="M6" s="27">
        <v>5</v>
      </c>
      <c r="N6" s="21"/>
      <c r="O6" s="21"/>
      <c r="P6" s="21"/>
      <c r="Q6" s="21"/>
      <c r="R6" s="21"/>
      <c r="S6" s="29"/>
    </row>
    <row r="7" spans="1:19">
      <c r="A7" s="2" t="s">
        <v>3</v>
      </c>
      <c r="B7" s="2" t="s">
        <v>3</v>
      </c>
      <c r="C7" s="19">
        <v>1147065</v>
      </c>
      <c r="D7" s="32" t="s">
        <v>10</v>
      </c>
      <c r="E7" s="23" t="s">
        <v>11</v>
      </c>
      <c r="F7" s="23" t="s">
        <v>1147</v>
      </c>
      <c r="G7" s="23" t="s">
        <v>12</v>
      </c>
      <c r="H7" s="25">
        <f t="shared" si="0"/>
        <v>0</v>
      </c>
      <c r="I7" s="23">
        <f t="shared" si="1"/>
        <v>0</v>
      </c>
      <c r="J7" s="26">
        <v>45</v>
      </c>
      <c r="K7" s="27">
        <v>45</v>
      </c>
      <c r="L7" s="27">
        <v>45</v>
      </c>
      <c r="M7" s="27">
        <v>40</v>
      </c>
      <c r="N7" s="27">
        <v>36</v>
      </c>
      <c r="O7" s="27">
        <v>52</v>
      </c>
      <c r="P7" s="27">
        <v>34</v>
      </c>
      <c r="Q7" s="27">
        <v>32</v>
      </c>
      <c r="R7" s="27">
        <v>34</v>
      </c>
      <c r="S7" s="33">
        <v>0</v>
      </c>
    </row>
    <row r="8" spans="1:19">
      <c r="A8" s="2" t="s">
        <v>3</v>
      </c>
      <c r="B8" s="2" t="s">
        <v>3</v>
      </c>
      <c r="C8" s="19">
        <v>1143494</v>
      </c>
      <c r="D8" s="32" t="s">
        <v>13</v>
      </c>
      <c r="E8" s="23" t="s">
        <v>14</v>
      </c>
      <c r="F8" s="24" t="s">
        <v>1148</v>
      </c>
      <c r="G8" s="23" t="s">
        <v>15</v>
      </c>
      <c r="H8" s="25">
        <f t="shared" si="0"/>
        <v>0</v>
      </c>
      <c r="I8" s="23">
        <f t="shared" si="1"/>
        <v>0</v>
      </c>
      <c r="J8" s="26">
        <v>85</v>
      </c>
      <c r="K8" s="27">
        <v>85</v>
      </c>
      <c r="L8" s="27">
        <v>135</v>
      </c>
      <c r="M8" s="27">
        <v>100</v>
      </c>
      <c r="N8" s="27">
        <v>100</v>
      </c>
      <c r="O8" s="27">
        <v>100</v>
      </c>
      <c r="P8" s="27">
        <v>100</v>
      </c>
      <c r="Q8" s="27">
        <v>100</v>
      </c>
      <c r="R8" s="27">
        <v>130</v>
      </c>
      <c r="S8" s="33">
        <v>70</v>
      </c>
    </row>
    <row r="9" spans="1:19">
      <c r="A9" s="2" t="s">
        <v>3</v>
      </c>
      <c r="B9" s="2" t="s">
        <v>3</v>
      </c>
      <c r="C9" s="19">
        <v>1090877</v>
      </c>
      <c r="D9" s="32" t="s">
        <v>16</v>
      </c>
      <c r="E9" s="23" t="s">
        <v>17</v>
      </c>
      <c r="F9" s="23" t="s">
        <v>1147</v>
      </c>
      <c r="G9" s="23" t="s">
        <v>18</v>
      </c>
      <c r="H9" s="25">
        <f t="shared" si="0"/>
        <v>-0.25</v>
      </c>
      <c r="I9" s="23">
        <f t="shared" si="1"/>
        <v>-10</v>
      </c>
      <c r="J9" s="26">
        <v>30</v>
      </c>
      <c r="K9" s="27">
        <v>40</v>
      </c>
      <c r="L9" s="27">
        <v>50</v>
      </c>
      <c r="M9" s="27">
        <v>50</v>
      </c>
      <c r="N9" s="27">
        <v>50</v>
      </c>
      <c r="O9" s="27">
        <v>50</v>
      </c>
      <c r="P9" s="27">
        <v>46</v>
      </c>
      <c r="Q9" s="21"/>
      <c r="R9" s="21"/>
      <c r="S9" s="29"/>
    </row>
    <row r="10" spans="1:19">
      <c r="A10" s="2" t="s">
        <v>3</v>
      </c>
      <c r="B10" s="2" t="s">
        <v>3</v>
      </c>
      <c r="C10" s="19">
        <v>1060631</v>
      </c>
      <c r="D10" s="32" t="s">
        <v>19</v>
      </c>
      <c r="E10" s="23" t="s">
        <v>11</v>
      </c>
      <c r="F10" s="23" t="s">
        <v>1147</v>
      </c>
      <c r="G10" s="23" t="s">
        <v>3</v>
      </c>
      <c r="H10" s="25">
        <f t="shared" si="0"/>
        <v>0</v>
      </c>
      <c r="I10" s="23">
        <f t="shared" si="1"/>
        <v>0</v>
      </c>
      <c r="J10" s="26">
        <v>100</v>
      </c>
      <c r="K10" s="27">
        <v>100</v>
      </c>
      <c r="L10" s="27">
        <v>70</v>
      </c>
      <c r="M10" s="27">
        <v>70</v>
      </c>
      <c r="N10" s="27">
        <v>70</v>
      </c>
      <c r="O10" s="27">
        <v>70</v>
      </c>
      <c r="P10" s="27">
        <v>70</v>
      </c>
      <c r="Q10" s="27">
        <v>70</v>
      </c>
      <c r="R10" s="27">
        <v>70</v>
      </c>
      <c r="S10" s="33">
        <v>70</v>
      </c>
    </row>
    <row r="11" spans="1:19" ht="15" thickBot="1">
      <c r="A11" s="2" t="s">
        <v>3</v>
      </c>
      <c r="B11" s="2" t="s">
        <v>3</v>
      </c>
      <c r="C11" s="19">
        <v>1060060</v>
      </c>
      <c r="D11" s="34" t="s">
        <v>20</v>
      </c>
      <c r="E11" s="35" t="s">
        <v>21</v>
      </c>
      <c r="F11" s="35" t="s">
        <v>1147</v>
      </c>
      <c r="G11" s="35" t="s">
        <v>22</v>
      </c>
      <c r="H11" s="36">
        <f t="shared" si="0"/>
        <v>8.3333333333333329E-2</v>
      </c>
      <c r="I11" s="35">
        <f t="shared" si="1"/>
        <v>5</v>
      </c>
      <c r="J11" s="37">
        <v>65</v>
      </c>
      <c r="K11" s="38">
        <v>60</v>
      </c>
      <c r="L11" s="38">
        <v>65</v>
      </c>
      <c r="M11" s="38">
        <v>60</v>
      </c>
      <c r="N11" s="38">
        <v>50</v>
      </c>
      <c r="O11" s="38">
        <v>60</v>
      </c>
      <c r="P11" s="38">
        <v>50</v>
      </c>
      <c r="Q11" s="38">
        <v>55</v>
      </c>
      <c r="R11" s="38">
        <v>20</v>
      </c>
      <c r="S11" s="39">
        <v>20</v>
      </c>
    </row>
    <row r="12" spans="1:19">
      <c r="A12" s="23"/>
      <c r="B12" s="23"/>
      <c r="C12" s="27"/>
      <c r="D12" s="23"/>
      <c r="E12" s="23"/>
      <c r="F12" s="23"/>
      <c r="G12" s="23"/>
      <c r="H12" s="25"/>
      <c r="I12" s="23"/>
      <c r="J12" s="26"/>
      <c r="K12" s="27"/>
      <c r="L12" s="27"/>
      <c r="M12" s="27"/>
      <c r="N12" s="27"/>
      <c r="O12" s="27"/>
      <c r="P12" s="27"/>
      <c r="Q12" s="27"/>
      <c r="R12" s="27"/>
      <c r="S12" s="27"/>
    </row>
    <row r="14" spans="1:19" ht="15" thickBot="1"/>
    <row r="15" spans="1:19" ht="25">
      <c r="D15" s="226" t="s">
        <v>1178</v>
      </c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8"/>
    </row>
    <row r="16" spans="1:19" s="202" customFormat="1">
      <c r="D16" s="203" t="s">
        <v>1213</v>
      </c>
      <c r="E16" s="41" t="s">
        <v>1144</v>
      </c>
      <c r="F16" s="41" t="s">
        <v>1214</v>
      </c>
      <c r="G16" s="41" t="s">
        <v>1146</v>
      </c>
      <c r="H16" s="45" t="s">
        <v>1215</v>
      </c>
      <c r="I16" s="41" t="s">
        <v>1216</v>
      </c>
      <c r="J16" s="41">
        <v>2013</v>
      </c>
      <c r="K16" s="41">
        <v>2012</v>
      </c>
      <c r="L16" s="41"/>
      <c r="M16" s="41"/>
      <c r="N16" s="41"/>
      <c r="O16" s="41"/>
      <c r="P16" s="41"/>
      <c r="Q16" s="41"/>
      <c r="R16" s="41"/>
      <c r="S16" s="204"/>
    </row>
    <row r="17" spans="4:19">
      <c r="D17" s="28" t="s">
        <v>424</v>
      </c>
      <c r="E17" s="21" t="s">
        <v>409</v>
      </c>
      <c r="F17" s="21" t="s">
        <v>1148</v>
      </c>
      <c r="G17" s="21" t="s">
        <v>423</v>
      </c>
      <c r="H17" s="40">
        <v>5.705414321754318E-2</v>
      </c>
      <c r="I17" s="21">
        <v>294</v>
      </c>
      <c r="J17" s="41">
        <v>5447</v>
      </c>
      <c r="K17" s="21">
        <v>5153</v>
      </c>
      <c r="L17" s="21"/>
      <c r="M17" s="21"/>
      <c r="N17" s="21"/>
      <c r="O17" s="21"/>
      <c r="P17" s="21"/>
      <c r="Q17" s="21"/>
      <c r="R17" s="21"/>
      <c r="S17" s="29"/>
    </row>
    <row r="18" spans="4:19">
      <c r="D18" s="28" t="s">
        <v>799</v>
      </c>
      <c r="E18" s="21" t="s">
        <v>798</v>
      </c>
      <c r="F18" s="21" t="s">
        <v>1148</v>
      </c>
      <c r="G18" s="21" t="s">
        <v>797</v>
      </c>
      <c r="H18" s="40">
        <v>5.7486338797814208E-2</v>
      </c>
      <c r="I18" s="21">
        <v>263</v>
      </c>
      <c r="J18" s="41">
        <v>4838</v>
      </c>
      <c r="K18" s="21">
        <v>4575</v>
      </c>
      <c r="L18" s="21"/>
      <c r="M18" s="21"/>
      <c r="N18" s="21"/>
      <c r="O18" s="21"/>
      <c r="P18" s="21"/>
      <c r="Q18" s="21"/>
      <c r="R18" s="21"/>
      <c r="S18" s="29"/>
    </row>
    <row r="19" spans="4:19">
      <c r="D19" s="28" t="s">
        <v>621</v>
      </c>
      <c r="E19" s="21" t="s">
        <v>612</v>
      </c>
      <c r="F19" s="21" t="s">
        <v>1148</v>
      </c>
      <c r="G19" s="21" t="s">
        <v>617</v>
      </c>
      <c r="H19" s="40">
        <v>0.2034037880867417</v>
      </c>
      <c r="I19" s="21">
        <v>741</v>
      </c>
      <c r="J19" s="41">
        <v>4384</v>
      </c>
      <c r="K19" s="21">
        <v>3643</v>
      </c>
      <c r="L19" s="21"/>
      <c r="M19" s="21"/>
      <c r="N19" s="21"/>
      <c r="O19" s="21"/>
      <c r="P19" s="21"/>
      <c r="Q19" s="21"/>
      <c r="R19" s="21"/>
      <c r="S19" s="29"/>
    </row>
    <row r="20" spans="4:19">
      <c r="D20" s="28" t="s">
        <v>807</v>
      </c>
      <c r="E20" s="21" t="s">
        <v>806</v>
      </c>
      <c r="F20" s="21" t="s">
        <v>1148</v>
      </c>
      <c r="G20" s="21" t="s">
        <v>805</v>
      </c>
      <c r="H20" s="40">
        <v>2.1196063588190765E-2</v>
      </c>
      <c r="I20" s="21">
        <v>56</v>
      </c>
      <c r="J20" s="41">
        <v>2698</v>
      </c>
      <c r="K20" s="21">
        <v>2642</v>
      </c>
      <c r="L20" s="21"/>
      <c r="M20" s="21"/>
      <c r="N20" s="21"/>
      <c r="O20" s="21"/>
      <c r="P20" s="21"/>
      <c r="Q20" s="21"/>
      <c r="R20" s="21"/>
      <c r="S20" s="29"/>
    </row>
    <row r="21" spans="4:19">
      <c r="D21" s="28" t="s">
        <v>516</v>
      </c>
      <c r="E21" s="21" t="s">
        <v>358</v>
      </c>
      <c r="F21" s="21" t="s">
        <v>1148</v>
      </c>
      <c r="G21" s="21" t="s">
        <v>515</v>
      </c>
      <c r="H21" s="40">
        <v>0.69230769230769229</v>
      </c>
      <c r="I21" s="21">
        <v>900</v>
      </c>
      <c r="J21" s="41">
        <v>2200</v>
      </c>
      <c r="K21" s="21">
        <v>1300</v>
      </c>
      <c r="L21" s="21"/>
      <c r="M21" s="21"/>
      <c r="N21" s="21"/>
      <c r="O21" s="21"/>
      <c r="P21" s="21"/>
      <c r="Q21" s="21"/>
      <c r="R21" s="21"/>
      <c r="S21" s="29"/>
    </row>
    <row r="22" spans="4:19">
      <c r="D22" s="28" t="s">
        <v>528</v>
      </c>
      <c r="E22" s="21" t="s">
        <v>520</v>
      </c>
      <c r="F22" s="21" t="s">
        <v>1148</v>
      </c>
      <c r="G22" s="21" t="s">
        <v>527</v>
      </c>
      <c r="H22" s="40">
        <v>9.2318059299191374E-2</v>
      </c>
      <c r="I22" s="21">
        <v>137</v>
      </c>
      <c r="J22" s="41">
        <v>1621</v>
      </c>
      <c r="K22" s="21">
        <v>1484</v>
      </c>
      <c r="L22" s="21"/>
      <c r="M22" s="21"/>
      <c r="N22" s="21"/>
      <c r="O22" s="21"/>
      <c r="P22" s="21"/>
      <c r="Q22" s="21"/>
      <c r="R22" s="21"/>
      <c r="S22" s="29"/>
    </row>
    <row r="23" spans="4:19">
      <c r="D23" s="28" t="s">
        <v>854</v>
      </c>
      <c r="E23" s="21" t="s">
        <v>11</v>
      </c>
      <c r="F23" s="21" t="s">
        <v>1148</v>
      </c>
      <c r="G23" s="21" t="s">
        <v>853</v>
      </c>
      <c r="H23" s="40">
        <v>0.1348148148148148</v>
      </c>
      <c r="I23" s="21">
        <v>182</v>
      </c>
      <c r="J23" s="41">
        <v>1532</v>
      </c>
      <c r="K23" s="21">
        <v>1350</v>
      </c>
      <c r="L23" s="21"/>
      <c r="M23" s="21"/>
      <c r="N23" s="21"/>
      <c r="O23" s="21"/>
      <c r="P23" s="21"/>
      <c r="Q23" s="21"/>
      <c r="R23" s="21"/>
      <c r="S23" s="29"/>
    </row>
    <row r="24" spans="4:19">
      <c r="D24" s="28" t="s">
        <v>220</v>
      </c>
      <c r="E24" s="21" t="s">
        <v>188</v>
      </c>
      <c r="F24" s="21" t="s">
        <v>1148</v>
      </c>
      <c r="G24" s="21" t="s">
        <v>219</v>
      </c>
      <c r="H24" s="40">
        <v>0.16666666666666666</v>
      </c>
      <c r="I24" s="21">
        <v>200</v>
      </c>
      <c r="J24" s="41">
        <v>1400</v>
      </c>
      <c r="K24" s="21">
        <v>1200</v>
      </c>
      <c r="L24" s="21"/>
      <c r="M24" s="21"/>
      <c r="N24" s="21"/>
      <c r="O24" s="21"/>
      <c r="P24" s="21"/>
      <c r="Q24" s="21"/>
      <c r="R24" s="21"/>
      <c r="S24" s="29"/>
    </row>
    <row r="25" spans="4:19">
      <c r="D25" s="28" t="s">
        <v>25</v>
      </c>
      <c r="E25" s="21" t="s">
        <v>320</v>
      </c>
      <c r="F25" s="21" t="s">
        <v>1148</v>
      </c>
      <c r="G25" s="21" t="s">
        <v>350</v>
      </c>
      <c r="H25" s="212">
        <v>-0.10974822466107166</v>
      </c>
      <c r="I25" s="213">
        <v>-170</v>
      </c>
      <c r="J25" s="216">
        <v>1379</v>
      </c>
      <c r="K25" s="21">
        <v>1549</v>
      </c>
      <c r="L25" s="21"/>
      <c r="M25" s="21"/>
      <c r="N25" s="21"/>
      <c r="O25" s="21"/>
      <c r="P25" s="21"/>
      <c r="Q25" s="21"/>
      <c r="R25" s="21"/>
      <c r="S25" s="29"/>
    </row>
    <row r="26" spans="4:19">
      <c r="D26" s="28" t="s">
        <v>676</v>
      </c>
      <c r="E26" s="21" t="s">
        <v>5</v>
      </c>
      <c r="F26" s="21" t="s">
        <v>1148</v>
      </c>
      <c r="G26" s="21" t="s">
        <v>675</v>
      </c>
      <c r="H26" s="212">
        <v>-5.9955588452997782E-2</v>
      </c>
      <c r="I26" s="213">
        <v>-81</v>
      </c>
      <c r="J26" s="216">
        <v>1270</v>
      </c>
      <c r="K26" s="21">
        <v>1351</v>
      </c>
      <c r="L26" s="21"/>
      <c r="M26" s="21"/>
      <c r="N26" s="21"/>
      <c r="O26" s="21"/>
      <c r="P26" s="21"/>
      <c r="Q26" s="21"/>
      <c r="R26" s="21"/>
      <c r="S26" s="29"/>
    </row>
    <row r="27" spans="4:19">
      <c r="D27" s="28" t="s">
        <v>828</v>
      </c>
      <c r="E27" s="21" t="s">
        <v>29</v>
      </c>
      <c r="F27" s="21" t="s">
        <v>1148</v>
      </c>
      <c r="G27" s="21" t="s">
        <v>827</v>
      </c>
      <c r="H27" s="40">
        <v>0.24823529411764705</v>
      </c>
      <c r="I27" s="21">
        <v>211</v>
      </c>
      <c r="J27" s="41">
        <v>1061</v>
      </c>
      <c r="K27" s="21">
        <v>850</v>
      </c>
      <c r="L27" s="21"/>
      <c r="M27" s="21"/>
      <c r="N27" s="21"/>
      <c r="O27" s="21"/>
      <c r="P27" s="21"/>
      <c r="Q27" s="21"/>
      <c r="R27" s="21"/>
      <c r="S27" s="29"/>
    </row>
    <row r="28" spans="4:19">
      <c r="D28" s="28" t="s">
        <v>550</v>
      </c>
      <c r="E28" s="21" t="s">
        <v>11</v>
      </c>
      <c r="F28" s="21" t="s">
        <v>1148</v>
      </c>
      <c r="G28" s="21" t="s">
        <v>549</v>
      </c>
      <c r="H28" s="40">
        <v>0</v>
      </c>
      <c r="I28" s="21">
        <v>0</v>
      </c>
      <c r="J28" s="41">
        <v>900</v>
      </c>
      <c r="K28" s="21">
        <v>900</v>
      </c>
      <c r="L28" s="21"/>
      <c r="M28" s="21"/>
      <c r="N28" s="21"/>
      <c r="O28" s="21"/>
      <c r="P28" s="21"/>
      <c r="Q28" s="21"/>
      <c r="R28" s="21"/>
      <c r="S28" s="29"/>
    </row>
    <row r="29" spans="4:19">
      <c r="D29" s="28" t="s">
        <v>108</v>
      </c>
      <c r="E29" s="21" t="s">
        <v>469</v>
      </c>
      <c r="F29" s="21" t="s">
        <v>1148</v>
      </c>
      <c r="G29" s="21" t="s">
        <v>468</v>
      </c>
      <c r="H29" s="40">
        <v>5.9880239520958087E-3</v>
      </c>
      <c r="I29" s="21">
        <v>5</v>
      </c>
      <c r="J29" s="41">
        <v>840</v>
      </c>
      <c r="K29" s="21">
        <v>835</v>
      </c>
      <c r="L29" s="21"/>
      <c r="M29" s="21"/>
      <c r="N29" s="21"/>
      <c r="O29" s="21"/>
      <c r="P29" s="21"/>
      <c r="Q29" s="21"/>
      <c r="R29" s="21"/>
      <c r="S29" s="29"/>
    </row>
    <row r="30" spans="4:19">
      <c r="D30" s="28" t="s">
        <v>837</v>
      </c>
      <c r="E30" s="21" t="s">
        <v>415</v>
      </c>
      <c r="F30" s="21" t="s">
        <v>1148</v>
      </c>
      <c r="G30" s="21" t="s">
        <v>836</v>
      </c>
      <c r="H30" s="40">
        <v>0.22511485451761101</v>
      </c>
      <c r="I30" s="21">
        <v>147</v>
      </c>
      <c r="J30" s="41">
        <v>800</v>
      </c>
      <c r="K30" s="21">
        <v>653</v>
      </c>
      <c r="L30" s="21"/>
      <c r="M30" s="21"/>
      <c r="N30" s="21"/>
      <c r="O30" s="21"/>
      <c r="P30" s="21"/>
      <c r="Q30" s="21"/>
      <c r="R30" s="21"/>
      <c r="S30" s="29"/>
    </row>
    <row r="31" spans="4:19">
      <c r="D31" s="28" t="s">
        <v>589</v>
      </c>
      <c r="E31" s="21" t="s">
        <v>11</v>
      </c>
      <c r="F31" s="21" t="s">
        <v>1147</v>
      </c>
      <c r="G31" s="21" t="s">
        <v>588</v>
      </c>
      <c r="H31" s="40">
        <v>0</v>
      </c>
      <c r="I31" s="21">
        <v>0</v>
      </c>
      <c r="J31" s="41">
        <v>800</v>
      </c>
      <c r="K31" s="21">
        <v>800</v>
      </c>
      <c r="L31" s="21"/>
      <c r="M31" s="21"/>
      <c r="N31" s="21"/>
      <c r="O31" s="21"/>
      <c r="P31" s="21"/>
      <c r="Q31" s="21"/>
      <c r="R31" s="21"/>
      <c r="S31" s="29"/>
    </row>
    <row r="32" spans="4:19">
      <c r="D32" s="28" t="s">
        <v>55</v>
      </c>
      <c r="E32" s="21" t="s">
        <v>1018</v>
      </c>
      <c r="F32" s="21" t="s">
        <v>1148</v>
      </c>
      <c r="G32" s="21" t="s">
        <v>1017</v>
      </c>
      <c r="H32" s="40">
        <v>3.896103896103896E-2</v>
      </c>
      <c r="I32" s="21">
        <v>30</v>
      </c>
      <c r="J32" s="41">
        <v>800</v>
      </c>
      <c r="K32" s="21">
        <v>770</v>
      </c>
      <c r="L32" s="21"/>
      <c r="M32" s="21"/>
      <c r="N32" s="21"/>
      <c r="O32" s="21"/>
      <c r="P32" s="21"/>
      <c r="Q32" s="21"/>
      <c r="R32" s="21"/>
      <c r="S32" s="29"/>
    </row>
    <row r="33" spans="4:19">
      <c r="D33" s="28" t="s">
        <v>711</v>
      </c>
      <c r="E33" s="21" t="s">
        <v>695</v>
      </c>
      <c r="F33" s="21" t="s">
        <v>1147</v>
      </c>
      <c r="G33" s="21" t="s">
        <v>710</v>
      </c>
      <c r="H33" s="40">
        <v>0</v>
      </c>
      <c r="I33" s="21">
        <v>0</v>
      </c>
      <c r="J33" s="41">
        <v>700</v>
      </c>
      <c r="K33" s="21">
        <v>700</v>
      </c>
      <c r="L33" s="21"/>
      <c r="M33" s="21"/>
      <c r="N33" s="21"/>
      <c r="O33" s="21"/>
      <c r="P33" s="21"/>
      <c r="Q33" s="21"/>
      <c r="R33" s="21"/>
      <c r="S33" s="29"/>
    </row>
    <row r="34" spans="4:19">
      <c r="D34" s="28" t="s">
        <v>344</v>
      </c>
      <c r="E34" s="21" t="s">
        <v>343</v>
      </c>
      <c r="F34" s="21" t="s">
        <v>1148</v>
      </c>
      <c r="G34" s="21" t="s">
        <v>342</v>
      </c>
      <c r="H34" s="212">
        <v>-7.1428571428571425E-2</v>
      </c>
      <c r="I34" s="213">
        <v>-50</v>
      </c>
      <c r="J34" s="216">
        <v>650</v>
      </c>
      <c r="K34" s="21">
        <v>700</v>
      </c>
      <c r="L34" s="21"/>
      <c r="M34" s="21"/>
      <c r="N34" s="21"/>
      <c r="O34" s="21"/>
      <c r="P34" s="21"/>
      <c r="Q34" s="21"/>
      <c r="R34" s="21"/>
      <c r="S34" s="29"/>
    </row>
    <row r="35" spans="4:19">
      <c r="D35" s="28" t="s">
        <v>398</v>
      </c>
      <c r="E35" s="21" t="s">
        <v>397</v>
      </c>
      <c r="F35" s="21" t="s">
        <v>1148</v>
      </c>
      <c r="G35" s="21" t="s">
        <v>396</v>
      </c>
      <c r="H35" s="40">
        <v>0</v>
      </c>
      <c r="I35" s="21">
        <v>0</v>
      </c>
      <c r="J35" s="41">
        <v>600</v>
      </c>
      <c r="K35" s="21">
        <v>600</v>
      </c>
      <c r="L35" s="21"/>
      <c r="M35" s="21"/>
      <c r="N35" s="21"/>
      <c r="O35" s="21"/>
      <c r="P35" s="21"/>
      <c r="Q35" s="21"/>
      <c r="R35" s="21"/>
      <c r="S35" s="29"/>
    </row>
    <row r="36" spans="4:19">
      <c r="D36" s="28" t="s">
        <v>483</v>
      </c>
      <c r="E36" s="21" t="s">
        <v>1063</v>
      </c>
      <c r="F36" s="21" t="s">
        <v>1148</v>
      </c>
      <c r="G36" s="21" t="s">
        <v>1062</v>
      </c>
      <c r="H36" s="40">
        <v>0.25744680851063828</v>
      </c>
      <c r="I36" s="21">
        <v>121</v>
      </c>
      <c r="J36" s="41">
        <v>591</v>
      </c>
      <c r="K36" s="21">
        <v>470</v>
      </c>
      <c r="L36" s="21"/>
      <c r="M36" s="21"/>
      <c r="N36" s="21"/>
      <c r="O36" s="21"/>
      <c r="P36" s="21"/>
      <c r="Q36" s="21"/>
      <c r="R36" s="21"/>
      <c r="S36" s="29"/>
    </row>
    <row r="37" spans="4:19">
      <c r="D37" s="28" t="s">
        <v>610</v>
      </c>
      <c r="E37" s="21" t="s">
        <v>8</v>
      </c>
      <c r="F37" s="21" t="s">
        <v>1148</v>
      </c>
      <c r="G37" s="21" t="s">
        <v>609</v>
      </c>
      <c r="H37" s="40">
        <v>0</v>
      </c>
      <c r="I37" s="21">
        <v>0</v>
      </c>
      <c r="J37" s="41">
        <v>550</v>
      </c>
      <c r="K37" s="21">
        <v>550</v>
      </c>
      <c r="L37" s="21"/>
      <c r="M37" s="21"/>
      <c r="N37" s="21"/>
      <c r="O37" s="21"/>
      <c r="P37" s="21"/>
      <c r="Q37" s="21"/>
      <c r="R37" s="21"/>
      <c r="S37" s="29"/>
    </row>
    <row r="38" spans="4:19">
      <c r="D38" s="28" t="s">
        <v>651</v>
      </c>
      <c r="E38" s="21" t="s">
        <v>642</v>
      </c>
      <c r="F38" s="21" t="s">
        <v>1148</v>
      </c>
      <c r="G38" s="21" t="s">
        <v>650</v>
      </c>
      <c r="H38" s="40">
        <v>4.1666666666666664E-2</v>
      </c>
      <c r="I38" s="21">
        <v>21</v>
      </c>
      <c r="J38" s="41">
        <v>525</v>
      </c>
      <c r="K38" s="21">
        <v>504</v>
      </c>
      <c r="L38" s="21"/>
      <c r="M38" s="21"/>
      <c r="N38" s="21"/>
      <c r="O38" s="21"/>
      <c r="P38" s="21"/>
      <c r="Q38" s="21"/>
      <c r="R38" s="21"/>
      <c r="S38" s="29"/>
    </row>
    <row r="39" spans="4:19">
      <c r="D39" s="28" t="s">
        <v>32</v>
      </c>
      <c r="E39" s="21" t="s">
        <v>26</v>
      </c>
      <c r="F39" s="21" t="s">
        <v>1148</v>
      </c>
      <c r="G39" s="21" t="s">
        <v>31</v>
      </c>
      <c r="H39" s="40">
        <v>0.13100436681222707</v>
      </c>
      <c r="I39" s="21">
        <v>60</v>
      </c>
      <c r="J39" s="41">
        <v>518</v>
      </c>
      <c r="K39" s="21">
        <v>458</v>
      </c>
      <c r="L39" s="21"/>
      <c r="M39" s="21"/>
      <c r="N39" s="21"/>
      <c r="O39" s="21"/>
      <c r="P39" s="21"/>
      <c r="Q39" s="21"/>
      <c r="R39" s="21"/>
      <c r="S39" s="29"/>
    </row>
    <row r="40" spans="4:19">
      <c r="D40" s="28" t="s">
        <v>624</v>
      </c>
      <c r="E40" s="21" t="s">
        <v>623</v>
      </c>
      <c r="F40" s="21" t="s">
        <v>1148</v>
      </c>
      <c r="G40" s="21" t="s">
        <v>622</v>
      </c>
      <c r="H40" s="40">
        <v>0.43055555555555558</v>
      </c>
      <c r="I40" s="21">
        <v>155</v>
      </c>
      <c r="J40" s="41">
        <v>515</v>
      </c>
      <c r="K40" s="21">
        <v>360</v>
      </c>
      <c r="L40" s="21"/>
      <c r="M40" s="21"/>
      <c r="N40" s="21"/>
      <c r="O40" s="21"/>
      <c r="P40" s="21"/>
      <c r="Q40" s="21"/>
      <c r="R40" s="21"/>
      <c r="S40" s="29"/>
    </row>
    <row r="41" spans="4:19" ht="15" thickBot="1">
      <c r="D41" s="42" t="s">
        <v>1119</v>
      </c>
      <c r="E41" s="43" t="s">
        <v>1096</v>
      </c>
      <c r="F41" s="43" t="s">
        <v>1148</v>
      </c>
      <c r="G41" s="43" t="s">
        <v>1118</v>
      </c>
      <c r="H41" s="214">
        <v>-3.9325842696629212E-2</v>
      </c>
      <c r="I41" s="215">
        <v>-21</v>
      </c>
      <c r="J41" s="217">
        <v>513</v>
      </c>
      <c r="K41" s="43">
        <v>534</v>
      </c>
      <c r="L41" s="43"/>
      <c r="M41" s="43"/>
      <c r="N41" s="43"/>
      <c r="O41" s="43"/>
      <c r="P41" s="43"/>
      <c r="Q41" s="43"/>
      <c r="R41" s="43"/>
      <c r="S41" s="44"/>
    </row>
    <row r="42" spans="4:19" ht="15" thickBot="1"/>
    <row r="43" spans="4:19" ht="25">
      <c r="D43" s="226" t="s">
        <v>1179</v>
      </c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8"/>
    </row>
    <row r="44" spans="4:19">
      <c r="D44" s="203" t="s">
        <v>1213</v>
      </c>
      <c r="E44" s="41" t="s">
        <v>1144</v>
      </c>
      <c r="F44" s="41" t="s">
        <v>1214</v>
      </c>
      <c r="G44" s="41" t="s">
        <v>1146</v>
      </c>
      <c r="H44" s="45" t="s">
        <v>1215</v>
      </c>
      <c r="I44" s="41" t="s">
        <v>1216</v>
      </c>
      <c r="J44" s="41">
        <v>2013</v>
      </c>
      <c r="K44" s="41">
        <v>2012</v>
      </c>
      <c r="L44" s="203"/>
      <c r="M44" s="41"/>
      <c r="N44" s="41"/>
      <c r="O44" s="41"/>
      <c r="P44" s="45"/>
      <c r="Q44" s="41"/>
      <c r="R44" s="41"/>
      <c r="S44" s="29"/>
    </row>
    <row r="45" spans="4:19">
      <c r="D45" s="28" t="s">
        <v>25</v>
      </c>
      <c r="E45" s="21" t="s">
        <v>662</v>
      </c>
      <c r="F45" s="21" t="s">
        <v>1147</v>
      </c>
      <c r="G45" s="21" t="s">
        <v>661</v>
      </c>
      <c r="H45" s="45">
        <v>8.84</v>
      </c>
      <c r="I45" s="21">
        <v>221</v>
      </c>
      <c r="J45" s="21">
        <v>246</v>
      </c>
      <c r="K45" s="21">
        <v>25</v>
      </c>
      <c r="L45" s="21"/>
      <c r="M45" s="21"/>
      <c r="N45" s="21"/>
      <c r="O45" s="21"/>
      <c r="P45" s="21"/>
      <c r="Q45" s="21"/>
      <c r="R45" s="21"/>
      <c r="S45" s="29"/>
    </row>
    <row r="46" spans="4:19">
      <c r="D46" s="28" t="s">
        <v>242</v>
      </c>
      <c r="E46" s="21" t="s">
        <v>960</v>
      </c>
      <c r="F46" s="21" t="s">
        <v>1148</v>
      </c>
      <c r="G46" s="21" t="s">
        <v>999</v>
      </c>
      <c r="H46" s="45">
        <v>5.3636363636363633</v>
      </c>
      <c r="I46" s="21">
        <v>59</v>
      </c>
      <c r="J46" s="21">
        <v>70</v>
      </c>
      <c r="K46" s="21">
        <v>11</v>
      </c>
      <c r="L46" s="21"/>
      <c r="M46" s="21"/>
      <c r="N46" s="21"/>
      <c r="O46" s="21"/>
      <c r="P46" s="21"/>
      <c r="Q46" s="21"/>
      <c r="R46" s="21"/>
      <c r="S46" s="29"/>
    </row>
    <row r="47" spans="4:19">
      <c r="D47" s="28" t="s">
        <v>739</v>
      </c>
      <c r="E47" s="21" t="s">
        <v>738</v>
      </c>
      <c r="F47" s="21" t="s">
        <v>1147</v>
      </c>
      <c r="G47" s="21" t="s">
        <v>737</v>
      </c>
      <c r="H47" s="45">
        <v>4.4545454545454541</v>
      </c>
      <c r="I47" s="21">
        <v>98</v>
      </c>
      <c r="J47" s="21">
        <v>120</v>
      </c>
      <c r="K47" s="21">
        <v>22</v>
      </c>
      <c r="L47" s="21"/>
      <c r="M47" s="21"/>
      <c r="N47" s="21"/>
      <c r="O47" s="21"/>
      <c r="P47" s="21"/>
      <c r="Q47" s="21"/>
      <c r="R47" s="21"/>
      <c r="S47" s="29"/>
    </row>
    <row r="48" spans="4:19">
      <c r="D48" s="28" t="s">
        <v>4</v>
      </c>
      <c r="E48" s="21" t="s">
        <v>5</v>
      </c>
      <c r="F48" s="21" t="s">
        <v>1148</v>
      </c>
      <c r="G48" s="21" t="s">
        <v>6</v>
      </c>
      <c r="H48" s="45">
        <v>3.28</v>
      </c>
      <c r="I48" s="21">
        <v>82</v>
      </c>
      <c r="J48" s="21">
        <v>107</v>
      </c>
      <c r="K48" s="21">
        <v>25</v>
      </c>
      <c r="L48" s="21"/>
      <c r="M48" s="21"/>
      <c r="N48" s="21"/>
      <c r="O48" s="21"/>
      <c r="P48" s="21"/>
      <c r="Q48" s="21"/>
      <c r="R48" s="21"/>
      <c r="S48" s="29"/>
    </row>
    <row r="49" spans="4:19">
      <c r="D49" s="28" t="s">
        <v>359</v>
      </c>
      <c r="E49" s="21" t="s">
        <v>358</v>
      </c>
      <c r="F49" s="21" t="s">
        <v>1147</v>
      </c>
      <c r="G49" s="21" t="s">
        <v>357</v>
      </c>
      <c r="H49" s="45">
        <v>2.75</v>
      </c>
      <c r="I49" s="21">
        <v>110</v>
      </c>
      <c r="J49" s="21">
        <v>150</v>
      </c>
      <c r="K49" s="21">
        <v>40</v>
      </c>
      <c r="L49" s="21"/>
      <c r="M49" s="21"/>
      <c r="N49" s="21"/>
      <c r="O49" s="21"/>
      <c r="P49" s="21"/>
      <c r="Q49" s="21"/>
      <c r="R49" s="21"/>
      <c r="S49" s="29"/>
    </row>
    <row r="50" spans="4:19">
      <c r="D50" s="28" t="s">
        <v>25</v>
      </c>
      <c r="E50" s="21" t="s">
        <v>639</v>
      </c>
      <c r="F50" s="21" t="s">
        <v>1148</v>
      </c>
      <c r="G50" s="21" t="s">
        <v>638</v>
      </c>
      <c r="H50" s="45">
        <v>2.4090909090909092</v>
      </c>
      <c r="I50" s="21">
        <v>53</v>
      </c>
      <c r="J50" s="21">
        <v>75</v>
      </c>
      <c r="K50" s="21">
        <v>22</v>
      </c>
      <c r="L50" s="21"/>
      <c r="M50" s="21"/>
      <c r="N50" s="21"/>
      <c r="O50" s="21"/>
      <c r="P50" s="21"/>
      <c r="Q50" s="21"/>
      <c r="R50" s="21"/>
      <c r="S50" s="29"/>
    </row>
    <row r="51" spans="4:19">
      <c r="D51" s="28" t="s">
        <v>465</v>
      </c>
      <c r="E51" s="21" t="s">
        <v>464</v>
      </c>
      <c r="F51" s="21" t="s">
        <v>1148</v>
      </c>
      <c r="G51" s="21" t="s">
        <v>463</v>
      </c>
      <c r="H51" s="45">
        <v>1.25</v>
      </c>
      <c r="I51" s="21">
        <v>25</v>
      </c>
      <c r="J51" s="21">
        <v>45</v>
      </c>
      <c r="K51" s="21">
        <v>20</v>
      </c>
      <c r="L51" s="21"/>
      <c r="M51" s="21"/>
      <c r="N51" s="21"/>
      <c r="O51" s="21"/>
      <c r="P51" s="21"/>
      <c r="Q51" s="21"/>
      <c r="R51" s="21"/>
      <c r="S51" s="29"/>
    </row>
    <row r="52" spans="4:19">
      <c r="D52" s="28" t="s">
        <v>180</v>
      </c>
      <c r="E52" s="21" t="s">
        <v>179</v>
      </c>
      <c r="F52" s="21" t="s">
        <v>1148</v>
      </c>
      <c r="G52" s="21" t="s">
        <v>178</v>
      </c>
      <c r="H52" s="45">
        <v>1.2</v>
      </c>
      <c r="I52" s="21">
        <v>102</v>
      </c>
      <c r="J52" s="21">
        <v>187</v>
      </c>
      <c r="K52" s="21">
        <v>85</v>
      </c>
      <c r="L52" s="21"/>
      <c r="M52" s="21"/>
      <c r="N52" s="21"/>
      <c r="O52" s="21"/>
      <c r="P52" s="21"/>
      <c r="Q52" s="21"/>
      <c r="R52" s="21"/>
      <c r="S52" s="29"/>
    </row>
    <row r="53" spans="4:19">
      <c r="D53" s="28" t="s">
        <v>199</v>
      </c>
      <c r="E53" s="21" t="s">
        <v>182</v>
      </c>
      <c r="F53" s="21" t="s">
        <v>1148</v>
      </c>
      <c r="G53" s="21" t="s">
        <v>198</v>
      </c>
      <c r="H53" s="45">
        <v>1.1499999999999999</v>
      </c>
      <c r="I53" s="21">
        <v>46</v>
      </c>
      <c r="J53" s="21">
        <v>86</v>
      </c>
      <c r="K53" s="21">
        <v>40</v>
      </c>
      <c r="L53" s="21"/>
      <c r="M53" s="21"/>
      <c r="N53" s="21"/>
      <c r="O53" s="21"/>
      <c r="P53" s="21"/>
      <c r="Q53" s="21"/>
      <c r="R53" s="21"/>
      <c r="S53" s="29"/>
    </row>
    <row r="54" spans="4:19">
      <c r="D54" s="28" t="s">
        <v>25</v>
      </c>
      <c r="E54" s="21" t="s">
        <v>969</v>
      </c>
      <c r="F54" s="21" t="s">
        <v>1148</v>
      </c>
      <c r="G54" s="21" t="s">
        <v>968</v>
      </c>
      <c r="H54" s="45">
        <v>1.1111111111111112</v>
      </c>
      <c r="I54" s="21">
        <v>50</v>
      </c>
      <c r="J54" s="21">
        <v>95</v>
      </c>
      <c r="K54" s="21">
        <v>45</v>
      </c>
      <c r="L54" s="21"/>
      <c r="M54" s="21"/>
      <c r="N54" s="21"/>
      <c r="O54" s="21"/>
      <c r="P54" s="21"/>
      <c r="Q54" s="21"/>
      <c r="R54" s="21"/>
      <c r="S54" s="29"/>
    </row>
    <row r="55" spans="4:19">
      <c r="D55" s="28" t="s">
        <v>460</v>
      </c>
      <c r="E55" s="21" t="s">
        <v>276</v>
      </c>
      <c r="F55" s="21" t="s">
        <v>1147</v>
      </c>
      <c r="G55" s="21" t="s">
        <v>459</v>
      </c>
      <c r="H55" s="45">
        <v>1.0833333333333333</v>
      </c>
      <c r="I55" s="21">
        <v>13</v>
      </c>
      <c r="J55" s="21">
        <v>25</v>
      </c>
      <c r="K55" s="21">
        <v>12</v>
      </c>
      <c r="L55" s="21"/>
      <c r="M55" s="21"/>
      <c r="N55" s="21"/>
      <c r="O55" s="21"/>
      <c r="P55" s="21"/>
      <c r="Q55" s="21"/>
      <c r="R55" s="21"/>
      <c r="S55" s="29"/>
    </row>
    <row r="56" spans="4:19">
      <c r="D56" s="28" t="s">
        <v>964</v>
      </c>
      <c r="E56" s="21" t="s">
        <v>963</v>
      </c>
      <c r="F56" s="21" t="s">
        <v>1147</v>
      </c>
      <c r="G56" s="21" t="s">
        <v>962</v>
      </c>
      <c r="H56" s="45">
        <v>1</v>
      </c>
      <c r="I56" s="21">
        <v>225</v>
      </c>
      <c r="J56" s="21">
        <v>450</v>
      </c>
      <c r="K56" s="21">
        <v>225</v>
      </c>
      <c r="L56" s="21"/>
      <c r="M56" s="21"/>
      <c r="N56" s="21"/>
      <c r="O56" s="21"/>
      <c r="P56" s="21"/>
      <c r="Q56" s="21"/>
      <c r="R56" s="21"/>
      <c r="S56" s="29"/>
    </row>
    <row r="57" spans="4:19">
      <c r="D57" s="28" t="s">
        <v>25</v>
      </c>
      <c r="E57" s="21" t="s">
        <v>27</v>
      </c>
      <c r="F57" s="21" t="s">
        <v>1147</v>
      </c>
      <c r="G57" s="21" t="s">
        <v>3</v>
      </c>
      <c r="H57" s="45">
        <v>1</v>
      </c>
      <c r="I57" s="21">
        <v>20</v>
      </c>
      <c r="J57" s="21">
        <v>40</v>
      </c>
      <c r="K57" s="21">
        <v>20</v>
      </c>
      <c r="L57" s="21"/>
      <c r="M57" s="21"/>
      <c r="N57" s="21"/>
      <c r="O57" s="21"/>
      <c r="P57" s="21"/>
      <c r="Q57" s="21"/>
      <c r="R57" s="21"/>
      <c r="S57" s="29"/>
    </row>
    <row r="58" spans="4:19">
      <c r="D58" s="28" t="s">
        <v>1088</v>
      </c>
      <c r="E58" s="21" t="s">
        <v>101</v>
      </c>
      <c r="F58" s="21" t="s">
        <v>1147</v>
      </c>
      <c r="G58" s="21" t="s">
        <v>1087</v>
      </c>
      <c r="H58" s="45">
        <v>0.93333333333333335</v>
      </c>
      <c r="I58" s="21">
        <v>28</v>
      </c>
      <c r="J58" s="21">
        <v>58</v>
      </c>
      <c r="K58" s="21">
        <v>30</v>
      </c>
      <c r="L58" s="21"/>
      <c r="M58" s="21"/>
      <c r="N58" s="21"/>
      <c r="O58" s="21"/>
      <c r="P58" s="21"/>
      <c r="Q58" s="21"/>
      <c r="R58" s="21"/>
      <c r="S58" s="29"/>
    </row>
    <row r="59" spans="4:19">
      <c r="D59" s="28" t="s">
        <v>921</v>
      </c>
      <c r="E59" s="21" t="s">
        <v>920</v>
      </c>
      <c r="F59" s="21" t="s">
        <v>1148</v>
      </c>
      <c r="G59" s="21" t="s">
        <v>919</v>
      </c>
      <c r="H59" s="45">
        <v>0.9</v>
      </c>
      <c r="I59" s="21">
        <v>18</v>
      </c>
      <c r="J59" s="21">
        <v>38</v>
      </c>
      <c r="K59" s="21">
        <v>20</v>
      </c>
      <c r="L59" s="21"/>
      <c r="M59" s="21"/>
      <c r="N59" s="21"/>
      <c r="O59" s="21"/>
      <c r="P59" s="21"/>
      <c r="Q59" s="21"/>
      <c r="R59" s="21"/>
      <c r="S59" s="29"/>
    </row>
    <row r="60" spans="4:19">
      <c r="D60" s="28" t="s">
        <v>222</v>
      </c>
      <c r="E60" s="21" t="s">
        <v>175</v>
      </c>
      <c r="F60" s="21" t="s">
        <v>1148</v>
      </c>
      <c r="G60" s="21" t="s">
        <v>221</v>
      </c>
      <c r="H60" s="45">
        <v>0.89629629629629626</v>
      </c>
      <c r="I60" s="21">
        <v>121</v>
      </c>
      <c r="J60" s="21">
        <v>256</v>
      </c>
      <c r="K60" s="21">
        <v>135</v>
      </c>
      <c r="L60" s="21"/>
      <c r="M60" s="21"/>
      <c r="N60" s="21"/>
      <c r="O60" s="21"/>
      <c r="P60" s="21"/>
      <c r="Q60" s="21"/>
      <c r="R60" s="21"/>
      <c r="S60" s="29"/>
    </row>
    <row r="61" spans="4:19">
      <c r="D61" s="28" t="s">
        <v>249</v>
      </c>
      <c r="E61" s="21" t="s">
        <v>223</v>
      </c>
      <c r="F61" s="21" t="s">
        <v>1147</v>
      </c>
      <c r="G61" s="21" t="s">
        <v>248</v>
      </c>
      <c r="H61" s="45">
        <v>0.8</v>
      </c>
      <c r="I61" s="21">
        <v>20</v>
      </c>
      <c r="J61" s="21">
        <v>45</v>
      </c>
      <c r="K61" s="21">
        <v>25</v>
      </c>
      <c r="L61" s="21"/>
      <c r="M61" s="21"/>
      <c r="N61" s="21"/>
      <c r="O61" s="21"/>
      <c r="P61" s="21"/>
      <c r="Q61" s="21"/>
      <c r="R61" s="21"/>
      <c r="S61" s="29"/>
    </row>
    <row r="62" spans="4:19">
      <c r="D62" s="28" t="s">
        <v>462</v>
      </c>
      <c r="E62" s="21" t="s">
        <v>450</v>
      </c>
      <c r="F62" s="21" t="s">
        <v>1147</v>
      </c>
      <c r="G62" s="21" t="s">
        <v>461</v>
      </c>
      <c r="H62" s="45">
        <v>0.77777777777777779</v>
      </c>
      <c r="I62" s="21">
        <v>35</v>
      </c>
      <c r="J62" s="21">
        <v>80</v>
      </c>
      <c r="K62" s="21">
        <v>45</v>
      </c>
      <c r="L62" s="21"/>
      <c r="M62" s="21"/>
      <c r="N62" s="21"/>
      <c r="O62" s="21"/>
      <c r="P62" s="21"/>
      <c r="Q62" s="21"/>
      <c r="R62" s="21"/>
      <c r="S62" s="29"/>
    </row>
    <row r="63" spans="4:19">
      <c r="D63" s="28" t="s">
        <v>516</v>
      </c>
      <c r="E63" s="21" t="s">
        <v>358</v>
      </c>
      <c r="F63" s="21" t="s">
        <v>1148</v>
      </c>
      <c r="G63" s="21" t="s">
        <v>515</v>
      </c>
      <c r="H63" s="45">
        <v>0.69230769230769229</v>
      </c>
      <c r="I63" s="21">
        <v>900</v>
      </c>
      <c r="J63" s="21">
        <v>2200</v>
      </c>
      <c r="K63" s="21">
        <v>1300</v>
      </c>
      <c r="L63" s="21"/>
      <c r="M63" s="21"/>
      <c r="N63" s="21"/>
      <c r="O63" s="21"/>
      <c r="P63" s="21"/>
      <c r="Q63" s="21"/>
      <c r="R63" s="21"/>
      <c r="S63" s="29"/>
    </row>
    <row r="64" spans="4:19">
      <c r="D64" s="28" t="s">
        <v>1007</v>
      </c>
      <c r="E64" s="21" t="s">
        <v>1006</v>
      </c>
      <c r="F64" s="21" t="s">
        <v>1148</v>
      </c>
      <c r="G64" s="21" t="s">
        <v>1005</v>
      </c>
      <c r="H64" s="45">
        <v>0.6470588235294118</v>
      </c>
      <c r="I64" s="21">
        <v>11</v>
      </c>
      <c r="J64" s="21">
        <v>28</v>
      </c>
      <c r="K64" s="21">
        <v>17</v>
      </c>
      <c r="L64" s="21"/>
      <c r="M64" s="21"/>
      <c r="N64" s="21"/>
      <c r="O64" s="21"/>
      <c r="P64" s="21"/>
      <c r="Q64" s="21"/>
      <c r="R64" s="21"/>
      <c r="S64" s="29"/>
    </row>
    <row r="65" spans="4:19">
      <c r="D65" s="28" t="s">
        <v>1117</v>
      </c>
      <c r="E65" s="21" t="s">
        <v>1116</v>
      </c>
      <c r="F65" s="21" t="s">
        <v>1147</v>
      </c>
      <c r="G65" s="21" t="s">
        <v>1115</v>
      </c>
      <c r="H65" s="45">
        <v>0.625</v>
      </c>
      <c r="I65" s="21">
        <v>10</v>
      </c>
      <c r="J65" s="21">
        <v>26</v>
      </c>
      <c r="K65" s="21">
        <v>16</v>
      </c>
      <c r="L65" s="21"/>
      <c r="M65" s="21"/>
      <c r="N65" s="21"/>
      <c r="O65" s="21"/>
      <c r="P65" s="21"/>
      <c r="Q65" s="21"/>
      <c r="R65" s="21"/>
      <c r="S65" s="29"/>
    </row>
    <row r="66" spans="4:19">
      <c r="D66" s="28" t="s">
        <v>25</v>
      </c>
      <c r="E66" s="21" t="s">
        <v>872</v>
      </c>
      <c r="F66" s="21" t="s">
        <v>1147</v>
      </c>
      <c r="G66" s="21" t="s">
        <v>871</v>
      </c>
      <c r="H66" s="45">
        <v>0.59090909090909094</v>
      </c>
      <c r="I66" s="21">
        <v>13</v>
      </c>
      <c r="J66" s="21">
        <v>35</v>
      </c>
      <c r="K66" s="21">
        <v>22</v>
      </c>
      <c r="L66" s="21"/>
      <c r="M66" s="21"/>
      <c r="N66" s="21"/>
      <c r="O66" s="21"/>
      <c r="P66" s="21"/>
      <c r="Q66" s="21"/>
      <c r="R66" s="21"/>
      <c r="S66" s="29"/>
    </row>
    <row r="67" spans="4:19">
      <c r="D67" s="28" t="s">
        <v>525</v>
      </c>
      <c r="E67" s="21" t="s">
        <v>364</v>
      </c>
      <c r="F67" s="21" t="s">
        <v>1148</v>
      </c>
      <c r="G67" s="21" t="s">
        <v>524</v>
      </c>
      <c r="H67" s="45">
        <v>0.58878504672897192</v>
      </c>
      <c r="I67" s="21">
        <v>63</v>
      </c>
      <c r="J67" s="21">
        <v>170</v>
      </c>
      <c r="K67" s="21">
        <v>107</v>
      </c>
      <c r="L67" s="21"/>
      <c r="M67" s="21"/>
      <c r="N67" s="21"/>
      <c r="O67" s="21"/>
      <c r="P67" s="21"/>
      <c r="Q67" s="21"/>
      <c r="R67" s="21"/>
      <c r="S67" s="29"/>
    </row>
    <row r="68" spans="4:19">
      <c r="D68" s="28" t="s">
        <v>25</v>
      </c>
      <c r="E68" s="21" t="s">
        <v>700</v>
      </c>
      <c r="F68" s="21" t="s">
        <v>1147</v>
      </c>
      <c r="G68" s="21" t="s">
        <v>699</v>
      </c>
      <c r="H68" s="45">
        <v>0.55555555555555558</v>
      </c>
      <c r="I68" s="21">
        <v>25</v>
      </c>
      <c r="J68" s="21">
        <v>70</v>
      </c>
      <c r="K68" s="21">
        <v>45</v>
      </c>
      <c r="L68" s="21"/>
      <c r="M68" s="21"/>
      <c r="N68" s="21"/>
      <c r="O68" s="21"/>
      <c r="P68" s="21"/>
      <c r="Q68" s="21"/>
      <c r="R68" s="21"/>
      <c r="S68" s="29"/>
    </row>
    <row r="69" spans="4:19" ht="15" thickBot="1">
      <c r="D69" s="42" t="s">
        <v>25</v>
      </c>
      <c r="E69" s="43" t="s">
        <v>348</v>
      </c>
      <c r="F69" s="43" t="s">
        <v>1148</v>
      </c>
      <c r="G69" s="43" t="s">
        <v>347</v>
      </c>
      <c r="H69" s="46">
        <v>0.5376344086021505</v>
      </c>
      <c r="I69" s="43">
        <v>50</v>
      </c>
      <c r="J69" s="43">
        <v>143</v>
      </c>
      <c r="K69" s="43">
        <v>93</v>
      </c>
      <c r="L69" s="43"/>
      <c r="M69" s="43"/>
      <c r="N69" s="43"/>
      <c r="O69" s="43"/>
      <c r="P69" s="43"/>
      <c r="Q69" s="43"/>
      <c r="R69" s="43"/>
      <c r="S69" s="44"/>
    </row>
  </sheetData>
  <mergeCells count="3">
    <mergeCell ref="D1:S1"/>
    <mergeCell ref="D15:S15"/>
    <mergeCell ref="D43:S43"/>
  </mergeCells>
  <printOptions horizontalCentered="1"/>
  <pageMargins left="0.2" right="0.2" top="0.75" bottom="0.75" header="0.3" footer="0.3"/>
  <pageSetup scale="85" orientation="landscape"/>
  <headerFooter>
    <oddHeader>&amp;C&amp;22North Texas District</oddHeader>
    <oddFooter>&amp;CChurch Development/Planting</oddFooter>
  </headerFooter>
  <rowBreaks count="2" manualBreakCount="2">
    <brk id="11" max="16383" man="1"/>
    <brk id="41" max="16383" man="1"/>
  </rowBreaks>
  <colBreaks count="1" manualBreakCount="1">
    <brk id="3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pageSetUpPr fitToPage="1"/>
  </sheetPr>
  <dimension ref="A1:S31"/>
  <sheetViews>
    <sheetView topLeftCell="D1" workbookViewId="0">
      <selection activeCell="J26" sqref="J26"/>
    </sheetView>
  </sheetViews>
  <sheetFormatPr baseColWidth="10" defaultColWidth="8.83203125" defaultRowHeight="14" x14ac:dyDescent="0"/>
  <cols>
    <col min="1" max="1" width="7.1640625" style="3" hidden="1" customWidth="1"/>
    <col min="2" max="2" width="8" style="3" hidden="1" customWidth="1"/>
    <col min="3" max="3" width="8.1640625" style="3" hidden="1" customWidth="1"/>
    <col min="4" max="4" width="47" style="3" bestFit="1" customWidth="1"/>
    <col min="5" max="5" width="13.5" style="3" bestFit="1" customWidth="1"/>
    <col min="6" max="6" width="11.5" style="3" customWidth="1"/>
    <col min="7" max="7" width="21.1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29" t="s">
        <v>1157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1"/>
    </row>
    <row r="2" spans="1:19" ht="23">
      <c r="D2" s="68" t="s">
        <v>1152</v>
      </c>
      <c r="E2" s="69" t="str">
        <f>A5</f>
        <v>West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Abilene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165" t="s">
        <v>2</v>
      </c>
      <c r="E4" s="155" t="s">
        <v>1144</v>
      </c>
      <c r="F4" s="155" t="s">
        <v>1145</v>
      </c>
      <c r="G4" s="155" t="s">
        <v>1146</v>
      </c>
      <c r="H4" s="155" t="s">
        <v>1156</v>
      </c>
      <c r="I4" s="155" t="s">
        <v>1155</v>
      </c>
      <c r="J4" s="155">
        <v>2013</v>
      </c>
      <c r="K4" s="155">
        <v>2012</v>
      </c>
      <c r="L4" s="155">
        <v>2011</v>
      </c>
      <c r="M4" s="155">
        <v>2010</v>
      </c>
      <c r="N4" s="155">
        <v>2009</v>
      </c>
      <c r="O4" s="155">
        <v>2008</v>
      </c>
      <c r="P4" s="155">
        <v>2007</v>
      </c>
      <c r="Q4" s="155">
        <v>2006</v>
      </c>
      <c r="R4" s="155">
        <v>2005</v>
      </c>
      <c r="S4" s="166">
        <v>2004</v>
      </c>
    </row>
    <row r="5" spans="1:19">
      <c r="A5" s="5" t="s">
        <v>27</v>
      </c>
      <c r="B5" s="5" t="s">
        <v>26</v>
      </c>
      <c r="C5" s="67">
        <v>1067255</v>
      </c>
      <c r="D5" s="167" t="s">
        <v>25</v>
      </c>
      <c r="E5" s="156" t="s">
        <v>64</v>
      </c>
      <c r="F5" s="156" t="s">
        <v>1147</v>
      </c>
      <c r="G5" s="156" t="s">
        <v>63</v>
      </c>
      <c r="H5" s="157">
        <f>(J5-K5)/ABS(K5)</f>
        <v>5.7692307692307696E-2</v>
      </c>
      <c r="I5" s="156">
        <f>J5-K5</f>
        <v>3</v>
      </c>
      <c r="J5" s="158">
        <v>55</v>
      </c>
      <c r="K5" s="158">
        <v>52</v>
      </c>
      <c r="L5" s="158">
        <v>35</v>
      </c>
      <c r="M5" s="158">
        <v>40</v>
      </c>
      <c r="N5" s="158">
        <v>40</v>
      </c>
      <c r="O5" s="158">
        <v>50</v>
      </c>
      <c r="P5" s="158">
        <v>46</v>
      </c>
      <c r="Q5" s="158">
        <v>49</v>
      </c>
      <c r="R5" s="158">
        <v>52</v>
      </c>
      <c r="S5" s="168">
        <v>49</v>
      </c>
    </row>
    <row r="6" spans="1:19">
      <c r="A6" s="5" t="s">
        <v>27</v>
      </c>
      <c r="B6" s="5" t="s">
        <v>26</v>
      </c>
      <c r="C6" s="67">
        <v>1060508</v>
      </c>
      <c r="D6" s="167" t="s">
        <v>62</v>
      </c>
      <c r="E6" s="156" t="s">
        <v>61</v>
      </c>
      <c r="F6" s="156" t="s">
        <v>1147</v>
      </c>
      <c r="G6" s="156" t="s">
        <v>60</v>
      </c>
      <c r="H6" s="159">
        <f t="shared" ref="H6:H22" si="0">(J6-K6)/ABS(K6)</f>
        <v>-0.15384615384615385</v>
      </c>
      <c r="I6" s="160">
        <f t="shared" ref="I6:I22" si="1">J6-K6</f>
        <v>-2</v>
      </c>
      <c r="J6" s="158">
        <v>11</v>
      </c>
      <c r="K6" s="158">
        <v>13</v>
      </c>
      <c r="L6" s="158">
        <v>15</v>
      </c>
      <c r="M6" s="158">
        <v>20</v>
      </c>
      <c r="N6" s="158">
        <v>13</v>
      </c>
      <c r="O6" s="158">
        <v>16</v>
      </c>
      <c r="P6" s="158">
        <v>13</v>
      </c>
      <c r="Q6" s="158">
        <v>13</v>
      </c>
      <c r="R6" s="158">
        <v>17</v>
      </c>
      <c r="S6" s="168">
        <v>16</v>
      </c>
    </row>
    <row r="7" spans="1:19">
      <c r="A7" s="5" t="s">
        <v>27</v>
      </c>
      <c r="B7" s="5" t="s">
        <v>26</v>
      </c>
      <c r="C7" s="67">
        <v>1061423</v>
      </c>
      <c r="D7" s="167" t="s">
        <v>25</v>
      </c>
      <c r="E7" s="156" t="s">
        <v>59</v>
      </c>
      <c r="F7" s="156" t="s">
        <v>1147</v>
      </c>
      <c r="G7" s="156" t="s">
        <v>58</v>
      </c>
      <c r="H7" s="159">
        <f t="shared" si="0"/>
        <v>-4.6511627906976744E-2</v>
      </c>
      <c r="I7" s="160">
        <f t="shared" si="1"/>
        <v>-2</v>
      </c>
      <c r="J7" s="158">
        <v>41</v>
      </c>
      <c r="K7" s="158">
        <v>43</v>
      </c>
      <c r="L7" s="158">
        <v>51</v>
      </c>
      <c r="M7" s="158">
        <v>65</v>
      </c>
      <c r="N7" s="158">
        <v>62</v>
      </c>
      <c r="O7" s="158">
        <v>55</v>
      </c>
      <c r="P7" s="158">
        <v>80</v>
      </c>
      <c r="Q7" s="158">
        <v>90</v>
      </c>
      <c r="R7" s="158">
        <v>103</v>
      </c>
      <c r="S7" s="168">
        <v>125</v>
      </c>
    </row>
    <row r="8" spans="1:19">
      <c r="A8" s="5" t="s">
        <v>27</v>
      </c>
      <c r="B8" s="5" t="s">
        <v>26</v>
      </c>
      <c r="C8" s="67">
        <v>1061431</v>
      </c>
      <c r="D8" s="167" t="s">
        <v>25</v>
      </c>
      <c r="E8" s="156" t="s">
        <v>57</v>
      </c>
      <c r="F8" s="156" t="s">
        <v>1147</v>
      </c>
      <c r="G8" s="156" t="s">
        <v>56</v>
      </c>
      <c r="H8" s="161">
        <f t="shared" si="0"/>
        <v>0.3</v>
      </c>
      <c r="I8" s="171">
        <f t="shared" si="1"/>
        <v>15</v>
      </c>
      <c r="J8" s="158">
        <v>65</v>
      </c>
      <c r="K8" s="158">
        <v>50</v>
      </c>
      <c r="L8" s="158">
        <v>50</v>
      </c>
      <c r="M8" s="158">
        <v>45</v>
      </c>
      <c r="N8" s="158">
        <v>45</v>
      </c>
      <c r="O8" s="158">
        <v>58</v>
      </c>
      <c r="P8" s="158">
        <v>32</v>
      </c>
      <c r="Q8" s="158">
        <v>31</v>
      </c>
      <c r="R8" s="158">
        <v>30</v>
      </c>
      <c r="S8" s="168">
        <v>21</v>
      </c>
    </row>
    <row r="9" spans="1:19">
      <c r="A9" s="5" t="s">
        <v>27</v>
      </c>
      <c r="B9" s="5" t="s">
        <v>26</v>
      </c>
      <c r="C9" s="67">
        <v>1067115</v>
      </c>
      <c r="D9" s="167" t="s">
        <v>55</v>
      </c>
      <c r="E9" s="156" t="s">
        <v>54</v>
      </c>
      <c r="F9" s="156" t="s">
        <v>1147</v>
      </c>
      <c r="G9" s="156" t="s">
        <v>53</v>
      </c>
      <c r="H9" s="172">
        <f t="shared" si="0"/>
        <v>0.1111111111111111</v>
      </c>
      <c r="I9" s="171">
        <f t="shared" si="1"/>
        <v>35</v>
      </c>
      <c r="J9" s="158">
        <v>350</v>
      </c>
      <c r="K9" s="158">
        <v>315</v>
      </c>
      <c r="L9" s="158">
        <v>350</v>
      </c>
      <c r="M9" s="158">
        <v>300</v>
      </c>
      <c r="N9" s="158">
        <v>250</v>
      </c>
      <c r="O9" s="158">
        <v>300</v>
      </c>
      <c r="P9" s="158">
        <v>275</v>
      </c>
      <c r="Q9" s="158">
        <v>250</v>
      </c>
      <c r="R9" s="158">
        <v>280</v>
      </c>
      <c r="S9" s="168">
        <v>175</v>
      </c>
    </row>
    <row r="10" spans="1:19">
      <c r="A10" s="5" t="s">
        <v>27</v>
      </c>
      <c r="B10" s="5" t="s">
        <v>26</v>
      </c>
      <c r="C10" s="67">
        <v>1067149</v>
      </c>
      <c r="D10" s="167" t="s">
        <v>25</v>
      </c>
      <c r="E10" s="156" t="s">
        <v>52</v>
      </c>
      <c r="F10" s="156" t="s">
        <v>1148</v>
      </c>
      <c r="G10" s="156" t="s">
        <v>51</v>
      </c>
      <c r="H10" s="159">
        <f t="shared" si="0"/>
        <v>-0.36363636363636365</v>
      </c>
      <c r="I10" s="160">
        <f t="shared" si="1"/>
        <v>-20</v>
      </c>
      <c r="J10" s="158">
        <v>35</v>
      </c>
      <c r="K10" s="158">
        <v>55</v>
      </c>
      <c r="L10" s="158">
        <v>45</v>
      </c>
      <c r="M10" s="158">
        <v>42</v>
      </c>
      <c r="N10" s="158">
        <v>29</v>
      </c>
      <c r="O10" s="158">
        <v>60</v>
      </c>
      <c r="P10" s="158">
        <v>28</v>
      </c>
      <c r="Q10" s="158">
        <v>29</v>
      </c>
      <c r="R10" s="158">
        <v>27</v>
      </c>
      <c r="S10" s="168">
        <v>40</v>
      </c>
    </row>
    <row r="11" spans="1:19">
      <c r="A11" s="5" t="s">
        <v>27</v>
      </c>
      <c r="B11" s="5" t="s">
        <v>26</v>
      </c>
      <c r="C11" s="67">
        <v>1067172</v>
      </c>
      <c r="D11" s="167" t="s">
        <v>25</v>
      </c>
      <c r="E11" s="156" t="s">
        <v>50</v>
      </c>
      <c r="F11" s="156" t="s">
        <v>1147</v>
      </c>
      <c r="G11" s="156" t="s">
        <v>49</v>
      </c>
      <c r="H11" s="159">
        <f t="shared" si="0"/>
        <v>-0.16666666666666666</v>
      </c>
      <c r="I11" s="160">
        <f t="shared" si="1"/>
        <v>-3</v>
      </c>
      <c r="J11" s="158">
        <v>15</v>
      </c>
      <c r="K11" s="158">
        <v>18</v>
      </c>
      <c r="L11" s="158">
        <v>21</v>
      </c>
      <c r="M11" s="158">
        <v>27</v>
      </c>
      <c r="N11" s="158">
        <v>27</v>
      </c>
      <c r="O11" s="158">
        <v>19</v>
      </c>
      <c r="P11" s="158">
        <v>23</v>
      </c>
      <c r="Q11" s="158">
        <v>19</v>
      </c>
      <c r="R11" s="158">
        <v>23</v>
      </c>
      <c r="S11" s="168">
        <v>27</v>
      </c>
    </row>
    <row r="12" spans="1:19">
      <c r="A12" s="5" t="s">
        <v>27</v>
      </c>
      <c r="B12" s="5" t="s">
        <v>26</v>
      </c>
      <c r="C12" s="67">
        <v>1060136</v>
      </c>
      <c r="D12" s="167" t="s">
        <v>48</v>
      </c>
      <c r="E12" s="156" t="s">
        <v>47</v>
      </c>
      <c r="F12" s="156" t="s">
        <v>1147</v>
      </c>
      <c r="G12" s="156" t="s">
        <v>46</v>
      </c>
      <c r="H12" s="162">
        <f t="shared" si="0"/>
        <v>0</v>
      </c>
      <c r="I12" s="163">
        <f t="shared" si="1"/>
        <v>0</v>
      </c>
      <c r="J12" s="158">
        <v>40</v>
      </c>
      <c r="K12" s="158">
        <v>40</v>
      </c>
      <c r="L12" s="158">
        <v>40</v>
      </c>
      <c r="M12" s="158">
        <v>30</v>
      </c>
      <c r="N12" s="158">
        <v>30</v>
      </c>
      <c r="O12" s="158">
        <v>35</v>
      </c>
      <c r="P12" s="158">
        <v>50</v>
      </c>
      <c r="Q12" s="158">
        <v>58</v>
      </c>
      <c r="R12" s="158">
        <v>55</v>
      </c>
      <c r="S12" s="168">
        <v>45</v>
      </c>
    </row>
    <row r="13" spans="1:19">
      <c r="A13" s="5" t="s">
        <v>27</v>
      </c>
      <c r="B13" s="5" t="s">
        <v>26</v>
      </c>
      <c r="C13" s="67">
        <v>1067206</v>
      </c>
      <c r="D13" s="167" t="s">
        <v>45</v>
      </c>
      <c r="E13" s="156" t="s">
        <v>44</v>
      </c>
      <c r="F13" s="156" t="s">
        <v>1148</v>
      </c>
      <c r="G13" s="156" t="s">
        <v>43</v>
      </c>
      <c r="H13" s="162">
        <f t="shared" si="0"/>
        <v>0</v>
      </c>
      <c r="I13" s="163">
        <f t="shared" si="1"/>
        <v>0</v>
      </c>
      <c r="J13" s="158">
        <v>40</v>
      </c>
      <c r="K13" s="158">
        <v>40</v>
      </c>
      <c r="L13" s="158">
        <v>35</v>
      </c>
      <c r="M13" s="158">
        <v>40</v>
      </c>
      <c r="N13" s="158">
        <v>45</v>
      </c>
      <c r="O13" s="158">
        <v>31</v>
      </c>
      <c r="P13" s="158">
        <v>35</v>
      </c>
      <c r="Q13" s="158">
        <v>35</v>
      </c>
      <c r="R13" s="158">
        <v>45</v>
      </c>
      <c r="S13" s="168">
        <v>60</v>
      </c>
    </row>
    <row r="14" spans="1:19">
      <c r="A14" s="5" t="s">
        <v>27</v>
      </c>
      <c r="B14" s="5" t="s">
        <v>26</v>
      </c>
      <c r="C14" s="67">
        <v>1005412</v>
      </c>
      <c r="D14" s="167" t="s">
        <v>34</v>
      </c>
      <c r="E14" s="156" t="s">
        <v>41</v>
      </c>
      <c r="F14" s="156" t="s">
        <v>1147</v>
      </c>
      <c r="G14" s="156" t="s">
        <v>42</v>
      </c>
      <c r="H14" s="159">
        <f t="shared" si="0"/>
        <v>-2.8571428571428571E-2</v>
      </c>
      <c r="I14" s="160">
        <f t="shared" si="1"/>
        <v>-2</v>
      </c>
      <c r="J14" s="158">
        <v>68</v>
      </c>
      <c r="K14" s="158">
        <v>70</v>
      </c>
      <c r="L14" s="158">
        <v>68</v>
      </c>
      <c r="M14" s="158">
        <v>65</v>
      </c>
      <c r="N14" s="158">
        <v>55</v>
      </c>
      <c r="O14" s="158">
        <v>74</v>
      </c>
      <c r="P14" s="158">
        <v>85</v>
      </c>
      <c r="Q14" s="158">
        <v>91</v>
      </c>
      <c r="R14" s="158">
        <v>95</v>
      </c>
      <c r="S14" s="168">
        <v>65</v>
      </c>
    </row>
    <row r="15" spans="1:19">
      <c r="A15" s="5" t="s">
        <v>27</v>
      </c>
      <c r="B15" s="5" t="s">
        <v>26</v>
      </c>
      <c r="C15" s="67">
        <v>1067263</v>
      </c>
      <c r="D15" s="167" t="s">
        <v>25</v>
      </c>
      <c r="E15" s="156" t="s">
        <v>41</v>
      </c>
      <c r="F15" s="156" t="s">
        <v>1148</v>
      </c>
      <c r="G15" s="156" t="s">
        <v>40</v>
      </c>
      <c r="H15" s="159">
        <f t="shared" si="0"/>
        <v>-0.33333333333333331</v>
      </c>
      <c r="I15" s="160">
        <f t="shared" si="1"/>
        <v>-15</v>
      </c>
      <c r="J15" s="158">
        <v>30</v>
      </c>
      <c r="K15" s="158">
        <v>45</v>
      </c>
      <c r="L15" s="158">
        <v>45</v>
      </c>
      <c r="M15" s="158">
        <v>45</v>
      </c>
      <c r="N15" s="158">
        <v>45</v>
      </c>
      <c r="O15" s="158">
        <v>45</v>
      </c>
      <c r="P15" s="158">
        <v>53</v>
      </c>
      <c r="Q15" s="158">
        <v>53</v>
      </c>
      <c r="R15" s="158">
        <v>58</v>
      </c>
      <c r="S15" s="168">
        <v>48</v>
      </c>
    </row>
    <row r="16" spans="1:19">
      <c r="A16" s="5" t="s">
        <v>27</v>
      </c>
      <c r="B16" s="5" t="s">
        <v>26</v>
      </c>
      <c r="C16" s="67">
        <v>1067289</v>
      </c>
      <c r="D16" s="167" t="s">
        <v>39</v>
      </c>
      <c r="E16" s="156" t="s">
        <v>26</v>
      </c>
      <c r="F16" s="156" t="s">
        <v>1147</v>
      </c>
      <c r="G16" s="156" t="s">
        <v>38</v>
      </c>
      <c r="H16" s="157">
        <f t="shared" si="0"/>
        <v>4.6511627906976744E-2</v>
      </c>
      <c r="I16" s="156">
        <f t="shared" si="1"/>
        <v>2</v>
      </c>
      <c r="J16" s="158">
        <v>45</v>
      </c>
      <c r="K16" s="158">
        <v>43</v>
      </c>
      <c r="L16" s="158">
        <v>43</v>
      </c>
      <c r="M16" s="158">
        <v>50</v>
      </c>
      <c r="N16" s="158">
        <v>60</v>
      </c>
      <c r="O16" s="158">
        <v>60</v>
      </c>
      <c r="P16" s="158">
        <v>60</v>
      </c>
      <c r="Q16" s="158">
        <v>78</v>
      </c>
      <c r="R16" s="158">
        <v>94</v>
      </c>
      <c r="S16" s="168">
        <v>125</v>
      </c>
    </row>
    <row r="17" spans="1:19">
      <c r="A17" s="5" t="s">
        <v>27</v>
      </c>
      <c r="B17" s="5" t="s">
        <v>26</v>
      </c>
      <c r="C17" s="67">
        <v>1067297</v>
      </c>
      <c r="D17" s="167" t="s">
        <v>37</v>
      </c>
      <c r="E17" s="156" t="s">
        <v>26</v>
      </c>
      <c r="F17" s="156" t="s">
        <v>1147</v>
      </c>
      <c r="G17" s="156" t="s">
        <v>36</v>
      </c>
      <c r="H17" s="172">
        <f t="shared" si="0"/>
        <v>0.11764705882352941</v>
      </c>
      <c r="I17" s="171">
        <f t="shared" si="1"/>
        <v>10</v>
      </c>
      <c r="J17" s="158">
        <v>95</v>
      </c>
      <c r="K17" s="158">
        <v>85</v>
      </c>
      <c r="L17" s="158">
        <v>70</v>
      </c>
      <c r="M17" s="158">
        <v>60</v>
      </c>
      <c r="N17" s="158">
        <v>35</v>
      </c>
      <c r="O17" s="158">
        <v>55</v>
      </c>
      <c r="P17" s="158">
        <v>55</v>
      </c>
      <c r="Q17" s="158">
        <v>23</v>
      </c>
      <c r="R17" s="158">
        <v>23</v>
      </c>
      <c r="S17" s="168">
        <v>45</v>
      </c>
    </row>
    <row r="18" spans="1:19">
      <c r="A18" s="5" t="s">
        <v>27</v>
      </c>
      <c r="B18" s="5" t="s">
        <v>26</v>
      </c>
      <c r="C18" s="67">
        <v>1067339</v>
      </c>
      <c r="D18" s="167" t="s">
        <v>35</v>
      </c>
      <c r="E18" s="156" t="s">
        <v>26</v>
      </c>
      <c r="F18" s="156" t="s">
        <v>1148</v>
      </c>
      <c r="G18" s="156" t="s">
        <v>3</v>
      </c>
      <c r="H18" s="159">
        <f t="shared" si="0"/>
        <v>-0.1875</v>
      </c>
      <c r="I18" s="160">
        <f t="shared" si="1"/>
        <v>-15</v>
      </c>
      <c r="J18" s="158">
        <v>65</v>
      </c>
      <c r="K18" s="158">
        <v>80</v>
      </c>
      <c r="L18" s="158">
        <v>80</v>
      </c>
      <c r="M18" s="158">
        <v>85</v>
      </c>
      <c r="N18" s="158">
        <v>83</v>
      </c>
      <c r="O18" s="158">
        <v>83</v>
      </c>
      <c r="P18" s="158">
        <v>95</v>
      </c>
      <c r="Q18" s="158">
        <v>95</v>
      </c>
      <c r="R18" s="158">
        <v>90</v>
      </c>
      <c r="S18" s="168">
        <v>95</v>
      </c>
    </row>
    <row r="19" spans="1:19">
      <c r="A19" s="5" t="s">
        <v>27</v>
      </c>
      <c r="B19" s="5" t="s">
        <v>26</v>
      </c>
      <c r="C19" s="67">
        <v>1067354</v>
      </c>
      <c r="D19" s="167" t="s">
        <v>34</v>
      </c>
      <c r="E19" s="156" t="s">
        <v>26</v>
      </c>
      <c r="F19" s="156" t="s">
        <v>1147</v>
      </c>
      <c r="G19" s="156" t="s">
        <v>33</v>
      </c>
      <c r="H19" s="159">
        <f t="shared" si="0"/>
        <v>-4.4444444444444446E-2</v>
      </c>
      <c r="I19" s="160">
        <f t="shared" si="1"/>
        <v>-2</v>
      </c>
      <c r="J19" s="158">
        <v>43</v>
      </c>
      <c r="K19" s="158">
        <v>45</v>
      </c>
      <c r="L19" s="158">
        <v>45</v>
      </c>
      <c r="M19" s="158">
        <v>47</v>
      </c>
      <c r="N19" s="158">
        <v>47</v>
      </c>
      <c r="O19" s="158">
        <v>38</v>
      </c>
      <c r="P19" s="158">
        <v>36</v>
      </c>
      <c r="Q19" s="158">
        <v>47</v>
      </c>
      <c r="R19" s="158">
        <v>39</v>
      </c>
      <c r="S19" s="168">
        <v>43</v>
      </c>
    </row>
    <row r="20" spans="1:19">
      <c r="A20" s="5" t="s">
        <v>27</v>
      </c>
      <c r="B20" s="5" t="s">
        <v>26</v>
      </c>
      <c r="C20" s="67">
        <v>1445592</v>
      </c>
      <c r="D20" s="167" t="s">
        <v>32</v>
      </c>
      <c r="E20" s="156" t="s">
        <v>26</v>
      </c>
      <c r="F20" s="156" t="s">
        <v>1148</v>
      </c>
      <c r="G20" s="156" t="s">
        <v>31</v>
      </c>
      <c r="H20" s="172">
        <f t="shared" si="0"/>
        <v>0.13100436681222707</v>
      </c>
      <c r="I20" s="171">
        <f t="shared" si="1"/>
        <v>60</v>
      </c>
      <c r="J20" s="164">
        <v>518</v>
      </c>
      <c r="K20" s="158">
        <v>458</v>
      </c>
      <c r="L20" s="158">
        <v>419</v>
      </c>
      <c r="M20" s="158">
        <v>515</v>
      </c>
      <c r="N20" s="158">
        <v>465</v>
      </c>
      <c r="O20" s="158">
        <v>409</v>
      </c>
      <c r="P20" s="158">
        <v>436</v>
      </c>
      <c r="Q20" s="158">
        <v>330</v>
      </c>
      <c r="R20" s="158">
        <v>271</v>
      </c>
      <c r="S20" s="168">
        <v>206</v>
      </c>
    </row>
    <row r="21" spans="1:19">
      <c r="A21" s="5" t="s">
        <v>27</v>
      </c>
      <c r="B21" s="5" t="s">
        <v>26</v>
      </c>
      <c r="C21" s="67">
        <v>1452093</v>
      </c>
      <c r="D21" s="167" t="s">
        <v>30</v>
      </c>
      <c r="E21" s="156" t="s">
        <v>29</v>
      </c>
      <c r="F21" s="156" t="s">
        <v>1149</v>
      </c>
      <c r="G21" s="156" t="s">
        <v>28</v>
      </c>
      <c r="H21" s="157" t="s">
        <v>1154</v>
      </c>
      <c r="I21" s="156">
        <f t="shared" si="1"/>
        <v>0</v>
      </c>
      <c r="J21" s="158">
        <v>0</v>
      </c>
      <c r="K21" s="158">
        <v>0</v>
      </c>
      <c r="L21" s="158">
        <v>0</v>
      </c>
      <c r="M21" s="158">
        <v>0</v>
      </c>
      <c r="N21" s="49"/>
      <c r="O21" s="49"/>
      <c r="P21" s="49"/>
      <c r="Q21" s="49"/>
      <c r="R21" s="49"/>
      <c r="S21" s="50"/>
    </row>
    <row r="22" spans="1:19">
      <c r="A22" s="5" t="s">
        <v>27</v>
      </c>
      <c r="B22" s="5" t="s">
        <v>26</v>
      </c>
      <c r="C22" s="67">
        <v>1067180</v>
      </c>
      <c r="D22" s="167" t="s">
        <v>25</v>
      </c>
      <c r="E22" s="156" t="s">
        <v>24</v>
      </c>
      <c r="F22" s="156" t="s">
        <v>1148</v>
      </c>
      <c r="G22" s="156" t="s">
        <v>23</v>
      </c>
      <c r="H22" s="172">
        <f t="shared" si="0"/>
        <v>0.125</v>
      </c>
      <c r="I22" s="171">
        <f t="shared" si="1"/>
        <v>5</v>
      </c>
      <c r="J22" s="158">
        <v>45</v>
      </c>
      <c r="K22" s="158">
        <v>40</v>
      </c>
      <c r="L22" s="158">
        <v>30</v>
      </c>
      <c r="M22" s="158">
        <v>30</v>
      </c>
      <c r="N22" s="158">
        <v>27</v>
      </c>
      <c r="O22" s="158">
        <v>29</v>
      </c>
      <c r="P22" s="158">
        <v>29</v>
      </c>
      <c r="Q22" s="158">
        <v>27</v>
      </c>
      <c r="R22" s="158">
        <v>37</v>
      </c>
      <c r="S22" s="168">
        <v>40</v>
      </c>
    </row>
    <row r="23" spans="1:19" ht="15" thickBot="1">
      <c r="D23" s="72" t="str">
        <f>"Church Count: "&amp;COUNTA(D5:D22)</f>
        <v>Church Count: 18</v>
      </c>
      <c r="E23" s="49"/>
      <c r="F23" s="49"/>
      <c r="G23" s="151" t="s">
        <v>1207</v>
      </c>
      <c r="H23" s="49"/>
      <c r="I23" s="49"/>
      <c r="J23" s="197">
        <f t="shared" ref="J23:S23" si="2">SUM(J5:J22)</f>
        <v>1561</v>
      </c>
      <c r="K23" s="197">
        <f t="shared" si="2"/>
        <v>1492</v>
      </c>
      <c r="L23" s="197">
        <f t="shared" si="2"/>
        <v>1442</v>
      </c>
      <c r="M23" s="197">
        <f t="shared" si="2"/>
        <v>1506</v>
      </c>
      <c r="N23" s="197">
        <f t="shared" si="2"/>
        <v>1358</v>
      </c>
      <c r="O23" s="197">
        <f t="shared" si="2"/>
        <v>1417</v>
      </c>
      <c r="P23" s="197">
        <f t="shared" si="2"/>
        <v>1431</v>
      </c>
      <c r="Q23" s="197">
        <f t="shared" si="2"/>
        <v>1318</v>
      </c>
      <c r="R23" s="197">
        <f t="shared" si="2"/>
        <v>1339</v>
      </c>
      <c r="S23" s="198">
        <f t="shared" si="2"/>
        <v>1225</v>
      </c>
    </row>
    <row r="24" spans="1:19" ht="15" thickTop="1">
      <c r="D24" s="152" t="s">
        <v>1180</v>
      </c>
      <c r="E24" s="49"/>
      <c r="F24" s="49"/>
      <c r="G24" s="151" t="s">
        <v>1208</v>
      </c>
      <c r="H24" s="49"/>
      <c r="I24" s="49"/>
      <c r="J24" s="49">
        <f>J23-K23</f>
        <v>69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D25" s="153" t="s">
        <v>1181</v>
      </c>
      <c r="E25" s="146"/>
      <c r="F25" s="146"/>
      <c r="G25" s="151" t="s">
        <v>1209</v>
      </c>
      <c r="H25" s="49"/>
      <c r="I25" s="49"/>
      <c r="J25" s="169">
        <f>(J23-K23)/ABS(K23)</f>
        <v>4.6246648793565687E-2</v>
      </c>
      <c r="K25" s="49"/>
      <c r="L25" s="49"/>
      <c r="M25" s="49"/>
      <c r="N25" s="49"/>
      <c r="O25" s="49"/>
      <c r="P25" s="49"/>
      <c r="Q25" s="49"/>
      <c r="R25" s="49"/>
      <c r="S25" s="50"/>
    </row>
    <row r="26" spans="1:19">
      <c r="D26" s="170" t="s">
        <v>1210</v>
      </c>
      <c r="E26" s="49"/>
      <c r="F26" s="49"/>
      <c r="G26" s="218" t="s">
        <v>1219</v>
      </c>
      <c r="H26" s="49"/>
      <c r="I26" s="49"/>
      <c r="J26" s="222">
        <f>J23-S23</f>
        <v>336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54" t="s">
        <v>1182</v>
      </c>
      <c r="E27" s="51"/>
      <c r="F27" s="51"/>
      <c r="G27" s="51"/>
      <c r="H27" s="51"/>
      <c r="I27" s="51"/>
      <c r="J27" s="220"/>
      <c r="K27" s="51"/>
      <c r="L27" s="51"/>
      <c r="M27" s="51"/>
      <c r="N27" s="51"/>
      <c r="O27" s="51"/>
      <c r="P27" s="51"/>
      <c r="Q27" s="51"/>
      <c r="R27" s="51"/>
      <c r="S27" s="52"/>
    </row>
    <row r="28" spans="1:19">
      <c r="D28" s="55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</row>
    <row r="29" spans="1:19"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</row>
    <row r="30" spans="1:19"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1:19"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</row>
  </sheetData>
  <mergeCells count="1">
    <mergeCell ref="D1:S1"/>
  </mergeCells>
  <printOptions horizontalCentered="1"/>
  <pageMargins left="0.7" right="0.7" top="0.75" bottom="0.75" header="0.3" footer="0.3"/>
  <pageSetup scale="68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>
    <pageSetUpPr fitToPage="1"/>
  </sheetPr>
  <dimension ref="A1:S23"/>
  <sheetViews>
    <sheetView topLeftCell="D1" workbookViewId="0">
      <selection activeCell="J22" sqref="J22"/>
    </sheetView>
  </sheetViews>
  <sheetFormatPr baseColWidth="10" defaultColWidth="47.6640625" defaultRowHeight="14" x14ac:dyDescent="0"/>
  <cols>
    <col min="1" max="1" width="13.1640625" style="3" hidden="1" customWidth="1"/>
    <col min="2" max="2" width="12.6640625" style="3" hidden="1" customWidth="1"/>
    <col min="3" max="3" width="8.1640625" style="3" hidden="1" customWidth="1"/>
    <col min="4" max="4" width="44.5" style="3" bestFit="1" customWidth="1"/>
    <col min="5" max="5" width="12.5" style="3" bestFit="1" customWidth="1"/>
    <col min="6" max="6" width="10" style="3" bestFit="1" customWidth="1"/>
    <col min="7" max="7" width="22.6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47.66406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/>
      <c r="E3" s="69" t="str">
        <f>B5</f>
        <v>Brazos Valley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68</v>
      </c>
      <c r="B5" s="5" t="s">
        <v>67</v>
      </c>
      <c r="C5" s="67">
        <v>1934231</v>
      </c>
      <c r="D5" s="70" t="s">
        <v>97</v>
      </c>
      <c r="E5" s="5" t="s">
        <v>96</v>
      </c>
      <c r="F5" s="5" t="s">
        <v>1150</v>
      </c>
      <c r="G5" s="5" t="s">
        <v>95</v>
      </c>
      <c r="H5" s="17">
        <f>(J5-K5)/ABS(K5)</f>
        <v>8.9285714285714288E-2</v>
      </c>
      <c r="I5" s="5">
        <f>J5-K5</f>
        <v>5</v>
      </c>
      <c r="J5" s="4">
        <v>61</v>
      </c>
      <c r="K5" s="4">
        <v>56</v>
      </c>
      <c r="L5" s="4">
        <v>62</v>
      </c>
      <c r="M5" s="4">
        <v>79</v>
      </c>
      <c r="N5" s="4">
        <v>84</v>
      </c>
      <c r="O5" s="4">
        <v>71</v>
      </c>
      <c r="P5" s="4">
        <v>65</v>
      </c>
      <c r="Q5" s="4">
        <v>75</v>
      </c>
      <c r="R5" s="4">
        <v>76</v>
      </c>
      <c r="S5" s="71">
        <v>74</v>
      </c>
    </row>
    <row r="6" spans="1:19">
      <c r="A6" s="5" t="s">
        <v>68</v>
      </c>
      <c r="B6" s="5" t="s">
        <v>67</v>
      </c>
      <c r="C6" s="67">
        <v>1094044</v>
      </c>
      <c r="D6" s="70" t="s">
        <v>25</v>
      </c>
      <c r="E6" s="5" t="s">
        <v>94</v>
      </c>
      <c r="F6" s="5" t="s">
        <v>1148</v>
      </c>
      <c r="G6" s="5" t="s">
        <v>93</v>
      </c>
      <c r="H6" s="149">
        <f t="shared" ref="H6:H18" si="0">(J6-K6)/ABS(K6)</f>
        <v>-0.15126050420168066</v>
      </c>
      <c r="I6" s="150">
        <f t="shared" ref="I6:I18" si="1">J6-K6</f>
        <v>-18</v>
      </c>
      <c r="J6" s="4">
        <v>101</v>
      </c>
      <c r="K6" s="4">
        <v>119</v>
      </c>
      <c r="L6" s="4">
        <v>121</v>
      </c>
      <c r="M6" s="4">
        <v>120</v>
      </c>
      <c r="N6" s="4">
        <v>135</v>
      </c>
      <c r="O6" s="4">
        <v>165</v>
      </c>
      <c r="P6" s="4">
        <v>74</v>
      </c>
      <c r="Q6" s="4">
        <v>163</v>
      </c>
      <c r="R6" s="4">
        <v>153</v>
      </c>
      <c r="S6" s="71">
        <v>157</v>
      </c>
    </row>
    <row r="7" spans="1:19">
      <c r="A7" s="5" t="s">
        <v>68</v>
      </c>
      <c r="B7" s="5" t="s">
        <v>67</v>
      </c>
      <c r="C7" s="67">
        <v>1064203</v>
      </c>
      <c r="D7" s="70" t="s">
        <v>92</v>
      </c>
      <c r="E7" s="5" t="s">
        <v>91</v>
      </c>
      <c r="F7" s="5" t="s">
        <v>1148</v>
      </c>
      <c r="G7" s="5" t="s">
        <v>90</v>
      </c>
      <c r="H7" s="149">
        <f t="shared" si="0"/>
        <v>-1.2658227848101266E-2</v>
      </c>
      <c r="I7" s="150">
        <f t="shared" si="1"/>
        <v>-1</v>
      </c>
      <c r="J7" s="4">
        <v>78</v>
      </c>
      <c r="K7" s="4">
        <v>79</v>
      </c>
      <c r="L7" s="4">
        <v>75</v>
      </c>
      <c r="M7" s="4">
        <v>48</v>
      </c>
      <c r="N7" s="4">
        <v>24</v>
      </c>
      <c r="O7" s="4">
        <v>24</v>
      </c>
      <c r="P7" s="4">
        <v>24</v>
      </c>
      <c r="Q7" s="4">
        <v>24</v>
      </c>
      <c r="R7" s="4">
        <v>24</v>
      </c>
      <c r="S7" s="71">
        <v>30</v>
      </c>
    </row>
    <row r="8" spans="1:19">
      <c r="A8" s="5" t="s">
        <v>68</v>
      </c>
      <c r="B8" s="5" t="s">
        <v>67</v>
      </c>
      <c r="C8" s="67">
        <v>1064195</v>
      </c>
      <c r="D8" s="70" t="s">
        <v>25</v>
      </c>
      <c r="E8" s="5" t="s">
        <v>89</v>
      </c>
      <c r="F8" s="5" t="s">
        <v>1148</v>
      </c>
      <c r="G8" s="5" t="s">
        <v>88</v>
      </c>
      <c r="H8" s="58">
        <f t="shared" si="0"/>
        <v>0</v>
      </c>
      <c r="I8" s="59">
        <f t="shared" si="1"/>
        <v>0</v>
      </c>
      <c r="J8" s="4">
        <v>20</v>
      </c>
      <c r="K8" s="4">
        <v>20</v>
      </c>
      <c r="L8" s="4">
        <v>17</v>
      </c>
      <c r="M8" s="4">
        <v>15</v>
      </c>
      <c r="N8" s="4">
        <v>20</v>
      </c>
      <c r="O8" s="4">
        <v>20</v>
      </c>
      <c r="P8" s="4">
        <v>21</v>
      </c>
      <c r="Q8" s="4">
        <v>20</v>
      </c>
      <c r="R8" s="4">
        <v>20</v>
      </c>
      <c r="S8" s="71">
        <v>20</v>
      </c>
    </row>
    <row r="9" spans="1:19">
      <c r="A9" s="5" t="s">
        <v>68</v>
      </c>
      <c r="B9" s="5" t="s">
        <v>67</v>
      </c>
      <c r="C9" s="67">
        <v>1064161</v>
      </c>
      <c r="D9" s="70" t="s">
        <v>75</v>
      </c>
      <c r="E9" s="5" t="s">
        <v>87</v>
      </c>
      <c r="F9" s="5" t="s">
        <v>1148</v>
      </c>
      <c r="G9" s="5" t="s">
        <v>86</v>
      </c>
      <c r="H9" s="58">
        <f t="shared" si="0"/>
        <v>0</v>
      </c>
      <c r="I9" s="59">
        <f t="shared" si="1"/>
        <v>0</v>
      </c>
      <c r="J9" s="4">
        <v>80</v>
      </c>
      <c r="K9" s="4">
        <v>80</v>
      </c>
      <c r="L9" s="4">
        <v>80</v>
      </c>
      <c r="M9" s="4">
        <v>38</v>
      </c>
      <c r="N9" s="4">
        <v>46</v>
      </c>
      <c r="O9" s="4">
        <v>42</v>
      </c>
      <c r="P9" s="4">
        <v>42</v>
      </c>
      <c r="Q9" s="4">
        <v>42</v>
      </c>
      <c r="R9" s="4">
        <v>42</v>
      </c>
      <c r="S9" s="71">
        <v>46</v>
      </c>
    </row>
    <row r="10" spans="1:19">
      <c r="A10" s="5" t="s">
        <v>68</v>
      </c>
      <c r="B10" s="5" t="s">
        <v>67</v>
      </c>
      <c r="C10" s="67">
        <v>1064146</v>
      </c>
      <c r="D10" s="70" t="s">
        <v>25</v>
      </c>
      <c r="E10" s="5" t="s">
        <v>85</v>
      </c>
      <c r="F10" s="5" t="s">
        <v>1148</v>
      </c>
      <c r="G10" s="5" t="s">
        <v>84</v>
      </c>
      <c r="H10" s="58">
        <f t="shared" si="0"/>
        <v>0</v>
      </c>
      <c r="I10" s="59">
        <f t="shared" si="1"/>
        <v>0</v>
      </c>
      <c r="J10" s="4">
        <v>110</v>
      </c>
      <c r="K10" s="4">
        <v>110</v>
      </c>
      <c r="L10" s="4">
        <v>130</v>
      </c>
      <c r="M10" s="4">
        <v>130</v>
      </c>
      <c r="N10" s="4">
        <v>165</v>
      </c>
      <c r="O10" s="4">
        <v>150</v>
      </c>
      <c r="P10" s="4">
        <v>150</v>
      </c>
      <c r="Q10" s="4">
        <v>150</v>
      </c>
      <c r="R10" s="4">
        <v>150</v>
      </c>
      <c r="S10" s="71">
        <v>150</v>
      </c>
    </row>
    <row r="11" spans="1:19">
      <c r="A11" s="5" t="s">
        <v>68</v>
      </c>
      <c r="B11" s="5" t="s">
        <v>67</v>
      </c>
      <c r="C11" s="67">
        <v>1064120</v>
      </c>
      <c r="D11" s="70" t="s">
        <v>83</v>
      </c>
      <c r="E11" s="5" t="s">
        <v>78</v>
      </c>
      <c r="F11" s="5" t="s">
        <v>1148</v>
      </c>
      <c r="G11" s="5" t="s">
        <v>82</v>
      </c>
      <c r="H11" s="147">
        <f t="shared" si="0"/>
        <v>0.16666666666666666</v>
      </c>
      <c r="I11" s="173">
        <f t="shared" si="1"/>
        <v>25</v>
      </c>
      <c r="J11" s="148">
        <v>175</v>
      </c>
      <c r="K11" s="4">
        <v>150</v>
      </c>
      <c r="L11" s="4">
        <v>200</v>
      </c>
      <c r="M11" s="4">
        <v>200</v>
      </c>
      <c r="N11" s="4">
        <v>260</v>
      </c>
      <c r="O11" s="4">
        <v>260</v>
      </c>
      <c r="P11" s="4">
        <v>250</v>
      </c>
      <c r="Q11" s="4">
        <v>250</v>
      </c>
      <c r="R11" s="4">
        <v>200</v>
      </c>
      <c r="S11" s="71">
        <v>200</v>
      </c>
    </row>
    <row r="12" spans="1:19">
      <c r="A12" s="5" t="s">
        <v>68</v>
      </c>
      <c r="B12" s="5" t="s">
        <v>67</v>
      </c>
      <c r="C12" s="67">
        <v>1064112</v>
      </c>
      <c r="D12" s="70" t="s">
        <v>81</v>
      </c>
      <c r="E12" s="5" t="s">
        <v>78</v>
      </c>
      <c r="F12" s="5" t="s">
        <v>1147</v>
      </c>
      <c r="G12" s="5" t="s">
        <v>80</v>
      </c>
      <c r="H12" s="149">
        <f t="shared" si="0"/>
        <v>-5.8823529411764705E-2</v>
      </c>
      <c r="I12" s="150">
        <f t="shared" si="1"/>
        <v>-1</v>
      </c>
      <c r="J12" s="4">
        <v>16</v>
      </c>
      <c r="K12" s="4">
        <v>17</v>
      </c>
      <c r="L12" s="4">
        <v>14</v>
      </c>
      <c r="M12" s="4">
        <v>14</v>
      </c>
      <c r="N12" s="4">
        <v>14</v>
      </c>
      <c r="O12" s="4">
        <v>16</v>
      </c>
      <c r="P12" s="4">
        <v>17</v>
      </c>
      <c r="Q12" s="4">
        <v>17</v>
      </c>
      <c r="R12" s="4">
        <v>9</v>
      </c>
      <c r="S12" s="71">
        <v>9</v>
      </c>
    </row>
    <row r="13" spans="1:19">
      <c r="A13" s="5" t="s">
        <v>68</v>
      </c>
      <c r="B13" s="5" t="s">
        <v>67</v>
      </c>
      <c r="C13" s="67">
        <v>1064096</v>
      </c>
      <c r="D13" s="70" t="s">
        <v>79</v>
      </c>
      <c r="E13" s="5" t="s">
        <v>78</v>
      </c>
      <c r="F13" s="5" t="s">
        <v>1148</v>
      </c>
      <c r="G13" s="5" t="s">
        <v>77</v>
      </c>
      <c r="H13" s="149">
        <f t="shared" si="0"/>
        <v>-6.2111801242236024E-2</v>
      </c>
      <c r="I13" s="150">
        <f t="shared" si="1"/>
        <v>-10</v>
      </c>
      <c r="J13" s="4">
        <v>151</v>
      </c>
      <c r="K13" s="4">
        <v>161</v>
      </c>
      <c r="L13" s="4">
        <v>156</v>
      </c>
      <c r="M13" s="4">
        <v>144</v>
      </c>
      <c r="N13" s="4">
        <v>146</v>
      </c>
      <c r="O13" s="4">
        <v>150</v>
      </c>
      <c r="P13" s="4">
        <v>150</v>
      </c>
      <c r="Q13" s="4">
        <v>190</v>
      </c>
      <c r="R13" s="4">
        <v>169</v>
      </c>
      <c r="S13" s="71">
        <v>170</v>
      </c>
    </row>
    <row r="14" spans="1:19">
      <c r="A14" s="5" t="s">
        <v>68</v>
      </c>
      <c r="B14" s="5" t="s">
        <v>67</v>
      </c>
      <c r="C14" s="67">
        <v>1061613</v>
      </c>
      <c r="D14" s="70" t="s">
        <v>25</v>
      </c>
      <c r="E14" s="5" t="s">
        <v>76</v>
      </c>
      <c r="F14" s="5" t="s">
        <v>1147</v>
      </c>
      <c r="G14" s="5" t="s">
        <v>3</v>
      </c>
      <c r="H14" s="58">
        <f t="shared" si="0"/>
        <v>0</v>
      </c>
      <c r="I14" s="59">
        <f t="shared" si="1"/>
        <v>0</v>
      </c>
      <c r="J14" s="4">
        <v>30</v>
      </c>
      <c r="K14" s="4">
        <v>30</v>
      </c>
      <c r="L14" s="4">
        <v>25</v>
      </c>
      <c r="M14" s="4">
        <v>15</v>
      </c>
      <c r="N14" s="4">
        <v>20</v>
      </c>
      <c r="O14" s="4">
        <v>25</v>
      </c>
      <c r="P14" s="4">
        <v>25</v>
      </c>
      <c r="Q14" s="4">
        <v>34</v>
      </c>
      <c r="R14" s="4">
        <v>33</v>
      </c>
      <c r="S14" s="71">
        <v>22</v>
      </c>
    </row>
    <row r="15" spans="1:19">
      <c r="A15" s="5" t="s">
        <v>68</v>
      </c>
      <c r="B15" s="5" t="s">
        <v>67</v>
      </c>
      <c r="C15" s="67">
        <v>1061555</v>
      </c>
      <c r="D15" s="70" t="s">
        <v>75</v>
      </c>
      <c r="E15" s="5" t="s">
        <v>74</v>
      </c>
      <c r="F15" s="5" t="s">
        <v>1147</v>
      </c>
      <c r="G15" s="5" t="s">
        <v>73</v>
      </c>
      <c r="H15" s="58">
        <f t="shared" si="0"/>
        <v>0</v>
      </c>
      <c r="I15" s="59">
        <f t="shared" si="1"/>
        <v>0</v>
      </c>
      <c r="J15" s="4">
        <v>45</v>
      </c>
      <c r="K15" s="4">
        <v>45</v>
      </c>
      <c r="L15" s="4">
        <v>54</v>
      </c>
      <c r="M15" s="4">
        <v>52</v>
      </c>
      <c r="N15" s="4">
        <v>50</v>
      </c>
      <c r="O15" s="4">
        <v>80</v>
      </c>
      <c r="P15" s="4">
        <v>65</v>
      </c>
      <c r="Q15" s="4">
        <v>63</v>
      </c>
      <c r="R15" s="4">
        <v>63</v>
      </c>
      <c r="S15" s="71">
        <v>55</v>
      </c>
    </row>
    <row r="16" spans="1:19">
      <c r="A16" s="5" t="s">
        <v>68</v>
      </c>
      <c r="B16" s="5" t="s">
        <v>67</v>
      </c>
      <c r="C16" s="67">
        <v>1061530</v>
      </c>
      <c r="D16" s="70" t="s">
        <v>25</v>
      </c>
      <c r="E16" s="5" t="s">
        <v>72</v>
      </c>
      <c r="F16" s="5" t="s">
        <v>1147</v>
      </c>
      <c r="G16" s="5" t="s">
        <v>71</v>
      </c>
      <c r="H16" s="17">
        <f t="shared" si="0"/>
        <v>0.08</v>
      </c>
      <c r="I16" s="5">
        <f t="shared" si="1"/>
        <v>2</v>
      </c>
      <c r="J16" s="4">
        <v>27</v>
      </c>
      <c r="K16" s="4">
        <v>25</v>
      </c>
      <c r="L16" s="4">
        <v>30</v>
      </c>
      <c r="M16" s="4">
        <v>25</v>
      </c>
      <c r="N16" s="4">
        <v>25</v>
      </c>
      <c r="O16" s="4">
        <v>26</v>
      </c>
      <c r="P16" s="4">
        <v>25</v>
      </c>
      <c r="Q16" s="4">
        <v>25</v>
      </c>
      <c r="R16" s="4">
        <v>45</v>
      </c>
      <c r="S16" s="71">
        <v>45</v>
      </c>
    </row>
    <row r="17" spans="1:19">
      <c r="A17" s="5" t="s">
        <v>68</v>
      </c>
      <c r="B17" s="5" t="s">
        <v>67</v>
      </c>
      <c r="C17" s="67">
        <v>1059724</v>
      </c>
      <c r="D17" s="70" t="s">
        <v>25</v>
      </c>
      <c r="E17" s="5" t="s">
        <v>70</v>
      </c>
      <c r="F17" s="5" t="s">
        <v>1147</v>
      </c>
      <c r="G17" s="5" t="s">
        <v>69</v>
      </c>
      <c r="H17" s="58">
        <f t="shared" si="0"/>
        <v>0</v>
      </c>
      <c r="I17" s="59">
        <f t="shared" si="1"/>
        <v>0</v>
      </c>
      <c r="J17" s="4">
        <v>25</v>
      </c>
      <c r="K17" s="4">
        <v>25</v>
      </c>
      <c r="L17" s="4">
        <v>25</v>
      </c>
      <c r="M17" s="4">
        <v>30</v>
      </c>
      <c r="N17" s="4">
        <v>23</v>
      </c>
      <c r="O17" s="4">
        <v>23</v>
      </c>
      <c r="P17" s="4">
        <v>23</v>
      </c>
      <c r="Q17" s="4">
        <v>18</v>
      </c>
      <c r="R17" s="4">
        <v>20</v>
      </c>
      <c r="S17" s="71">
        <v>25</v>
      </c>
    </row>
    <row r="18" spans="1:19">
      <c r="A18" s="5" t="s">
        <v>68</v>
      </c>
      <c r="B18" s="5" t="s">
        <v>67</v>
      </c>
      <c r="C18" s="67">
        <v>1059617</v>
      </c>
      <c r="D18" s="70" t="s">
        <v>25</v>
      </c>
      <c r="E18" s="5" t="s">
        <v>66</v>
      </c>
      <c r="F18" s="5" t="s">
        <v>1147</v>
      </c>
      <c r="G18" s="5" t="s">
        <v>65</v>
      </c>
      <c r="H18" s="149">
        <f t="shared" si="0"/>
        <v>-0.28000000000000003</v>
      </c>
      <c r="I18" s="150">
        <f t="shared" si="1"/>
        <v>-7</v>
      </c>
      <c r="J18" s="54">
        <v>18</v>
      </c>
      <c r="K18" s="54">
        <v>25</v>
      </c>
      <c r="L18" s="54">
        <v>34</v>
      </c>
      <c r="M18" s="54">
        <v>36</v>
      </c>
      <c r="N18" s="54">
        <v>25</v>
      </c>
      <c r="O18" s="54">
        <v>32</v>
      </c>
      <c r="P18" s="54">
        <v>33</v>
      </c>
      <c r="Q18" s="54">
        <v>15</v>
      </c>
      <c r="R18" s="54">
        <v>15</v>
      </c>
      <c r="S18" s="145">
        <v>26</v>
      </c>
    </row>
    <row r="19" spans="1:19" ht="15" thickBot="1">
      <c r="D19" s="72" t="str">
        <f>"Church Count: "&amp;COUNTA(D5:D18)</f>
        <v>Church Count: 14</v>
      </c>
      <c r="E19" s="49"/>
      <c r="F19" s="49"/>
      <c r="G19" s="151" t="s">
        <v>1207</v>
      </c>
      <c r="H19" s="17"/>
      <c r="I19" s="5"/>
      <c r="J19" s="201">
        <f t="shared" ref="J19:S19" si="2">SUM(J5:J18)</f>
        <v>937</v>
      </c>
      <c r="K19" s="197">
        <f t="shared" si="2"/>
        <v>942</v>
      </c>
      <c r="L19" s="197">
        <f t="shared" si="2"/>
        <v>1023</v>
      </c>
      <c r="M19" s="197">
        <f t="shared" si="2"/>
        <v>946</v>
      </c>
      <c r="N19" s="197">
        <f t="shared" si="2"/>
        <v>1037</v>
      </c>
      <c r="O19" s="197">
        <f t="shared" si="2"/>
        <v>1084</v>
      </c>
      <c r="P19" s="197">
        <f t="shared" si="2"/>
        <v>964</v>
      </c>
      <c r="Q19" s="197">
        <f t="shared" si="2"/>
        <v>1086</v>
      </c>
      <c r="R19" s="197">
        <f t="shared" si="2"/>
        <v>1019</v>
      </c>
      <c r="S19" s="198">
        <f t="shared" si="2"/>
        <v>1029</v>
      </c>
    </row>
    <row r="20" spans="1:19" ht="15" thickTop="1">
      <c r="D20" s="152" t="s">
        <v>1180</v>
      </c>
      <c r="E20" s="49"/>
      <c r="F20" s="49"/>
      <c r="G20" s="151" t="s">
        <v>1208</v>
      </c>
      <c r="H20" s="49"/>
      <c r="I20" s="49"/>
      <c r="J20" s="205">
        <f>J19-K19</f>
        <v>-5</v>
      </c>
      <c r="K20" s="49"/>
      <c r="L20" s="49"/>
      <c r="M20" s="49"/>
      <c r="N20" s="49"/>
      <c r="O20" s="49"/>
      <c r="P20" s="49"/>
      <c r="Q20" s="49"/>
      <c r="R20" s="49"/>
      <c r="S20" s="50"/>
    </row>
    <row r="21" spans="1:19">
      <c r="D21" s="153" t="s">
        <v>1181</v>
      </c>
      <c r="E21" s="146"/>
      <c r="F21" s="146"/>
      <c r="G21" s="151" t="s">
        <v>1209</v>
      </c>
      <c r="H21" s="49"/>
      <c r="I21" s="49"/>
      <c r="J21" s="206">
        <f>(J19-K19)/ABS(K19)</f>
        <v>-5.3078556263269636E-3</v>
      </c>
      <c r="K21" s="49"/>
      <c r="L21" s="49"/>
      <c r="M21" s="49"/>
      <c r="N21" s="49"/>
      <c r="O21" s="49"/>
      <c r="P21" s="49"/>
      <c r="Q21" s="49"/>
      <c r="R21" s="49"/>
      <c r="S21" s="50"/>
    </row>
    <row r="22" spans="1:19">
      <c r="D22" s="170" t="s">
        <v>1210</v>
      </c>
      <c r="E22" s="49"/>
      <c r="F22" s="49"/>
      <c r="G22" s="218" t="s">
        <v>1219</v>
      </c>
      <c r="H22" s="49"/>
      <c r="I22" s="49"/>
      <c r="J22" s="221">
        <f>J19-S19</f>
        <v>-92</v>
      </c>
      <c r="K22" s="49"/>
      <c r="L22" s="49"/>
      <c r="M22" s="49"/>
      <c r="N22" s="49"/>
      <c r="O22" s="49"/>
      <c r="P22" s="49"/>
      <c r="Q22" s="49"/>
      <c r="R22" s="49"/>
      <c r="S22" s="50"/>
    </row>
    <row r="23" spans="1:19">
      <c r="D23" s="154" t="s">
        <v>1182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2"/>
    </row>
  </sheetData>
  <mergeCells count="1">
    <mergeCell ref="D1:S1"/>
  </mergeCells>
  <printOptions horizontalCentered="1"/>
  <pageMargins left="0.7" right="0.7" top="0.75" bottom="0.75" header="0.3" footer="0.3"/>
  <pageSetup scale="70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enableFormatConditionsCalculation="0">
    <pageSetUpPr fitToPage="1"/>
  </sheetPr>
  <dimension ref="A1:S22"/>
  <sheetViews>
    <sheetView topLeftCell="D1" workbookViewId="0">
      <selection activeCell="J20" sqref="J20"/>
    </sheetView>
  </sheetViews>
  <sheetFormatPr baseColWidth="10" defaultColWidth="8.83203125" defaultRowHeight="14" x14ac:dyDescent="0"/>
  <cols>
    <col min="1" max="1" width="13.1640625" style="3" hidden="1" customWidth="1"/>
    <col min="2" max="2" width="9.5" style="3" hidden="1" customWidth="1"/>
    <col min="3" max="3" width="8.1640625" style="3" hidden="1" customWidth="1"/>
    <col min="4" max="4" width="34.83203125" style="3" bestFit="1" customWidth="1"/>
    <col min="5" max="5" width="9.5" style="3" bestFit="1" customWidth="1"/>
    <col min="6" max="6" width="10" style="3" bestFit="1" customWidth="1"/>
    <col min="7" max="7" width="20.6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Corsicana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68</v>
      </c>
      <c r="B5" s="5" t="s">
        <v>101</v>
      </c>
      <c r="C5" s="67">
        <v>1057314</v>
      </c>
      <c r="D5" s="70" t="s">
        <v>122</v>
      </c>
      <c r="E5" s="5" t="s">
        <v>101</v>
      </c>
      <c r="F5" s="5" t="s">
        <v>1148</v>
      </c>
      <c r="G5" s="5" t="s">
        <v>121</v>
      </c>
      <c r="H5" s="149">
        <f>(J5-K5)/ABS(K5)</f>
        <v>-3.8461538461538464E-2</v>
      </c>
      <c r="I5" s="150">
        <f>J5-K5</f>
        <v>-5</v>
      </c>
      <c r="J5" s="4">
        <v>125</v>
      </c>
      <c r="K5" s="4">
        <v>130</v>
      </c>
      <c r="L5" s="4">
        <v>140</v>
      </c>
      <c r="M5" s="4">
        <v>125</v>
      </c>
      <c r="N5" s="4">
        <v>125</v>
      </c>
      <c r="O5" s="4">
        <v>155</v>
      </c>
      <c r="P5" s="4">
        <v>150</v>
      </c>
      <c r="Q5" s="4">
        <v>155</v>
      </c>
      <c r="R5" s="4">
        <v>100</v>
      </c>
      <c r="S5" s="71">
        <v>120</v>
      </c>
    </row>
    <row r="6" spans="1:19">
      <c r="A6" s="5" t="s">
        <v>68</v>
      </c>
      <c r="B6" s="5" t="s">
        <v>101</v>
      </c>
      <c r="C6" s="67">
        <v>1502590</v>
      </c>
      <c r="D6" s="70" t="s">
        <v>25</v>
      </c>
      <c r="E6" s="5" t="s">
        <v>120</v>
      </c>
      <c r="F6" s="5" t="s">
        <v>1147</v>
      </c>
      <c r="G6" s="5" t="s">
        <v>119</v>
      </c>
      <c r="H6" s="58">
        <f t="shared" ref="H6:H16" si="0">(J6-K6)/ABS(K6)</f>
        <v>0</v>
      </c>
      <c r="I6" s="59">
        <f t="shared" ref="I6:I16" si="1">J6-K6</f>
        <v>0</v>
      </c>
      <c r="J6" s="4">
        <v>9</v>
      </c>
      <c r="K6" s="4">
        <v>9</v>
      </c>
      <c r="L6" s="4">
        <v>10</v>
      </c>
      <c r="M6" s="4">
        <v>10</v>
      </c>
      <c r="N6" s="4">
        <v>11</v>
      </c>
      <c r="O6" s="4">
        <v>22</v>
      </c>
      <c r="P6" s="4">
        <v>22</v>
      </c>
      <c r="Q6" s="4">
        <v>26</v>
      </c>
      <c r="R6" s="4">
        <v>22</v>
      </c>
      <c r="S6" s="71">
        <v>15</v>
      </c>
    </row>
    <row r="7" spans="1:19">
      <c r="A7" s="5" t="s">
        <v>68</v>
      </c>
      <c r="B7" s="5" t="s">
        <v>101</v>
      </c>
      <c r="C7" s="67">
        <v>1208867</v>
      </c>
      <c r="D7" s="70" t="s">
        <v>118</v>
      </c>
      <c r="E7" s="5" t="s">
        <v>117</v>
      </c>
      <c r="F7" s="5" t="s">
        <v>1147</v>
      </c>
      <c r="G7" s="5" t="s">
        <v>116</v>
      </c>
      <c r="H7" s="17">
        <f t="shared" si="0"/>
        <v>3.6363636363636362E-2</v>
      </c>
      <c r="I7" s="5">
        <f t="shared" si="1"/>
        <v>4</v>
      </c>
      <c r="J7" s="4">
        <v>114</v>
      </c>
      <c r="K7" s="4">
        <v>110</v>
      </c>
      <c r="L7" s="4">
        <v>110</v>
      </c>
      <c r="M7" s="4">
        <v>110</v>
      </c>
      <c r="N7" s="4">
        <v>110</v>
      </c>
      <c r="O7" s="4">
        <v>60</v>
      </c>
      <c r="P7" s="4">
        <v>60</v>
      </c>
      <c r="Q7" s="49"/>
      <c r="R7" s="49"/>
      <c r="S7" s="50"/>
    </row>
    <row r="8" spans="1:19">
      <c r="A8" s="5" t="s">
        <v>68</v>
      </c>
      <c r="B8" s="5" t="s">
        <v>101</v>
      </c>
      <c r="C8" s="67">
        <v>1207448</v>
      </c>
      <c r="D8" s="70" t="s">
        <v>115</v>
      </c>
      <c r="E8" s="5" t="s">
        <v>107</v>
      </c>
      <c r="F8" s="5" t="s">
        <v>1147</v>
      </c>
      <c r="G8" s="5" t="s">
        <v>114</v>
      </c>
      <c r="H8" s="149">
        <f t="shared" si="0"/>
        <v>-0.2</v>
      </c>
      <c r="I8" s="150">
        <f t="shared" si="1"/>
        <v>-25</v>
      </c>
      <c r="J8" s="4">
        <v>100</v>
      </c>
      <c r="K8" s="4">
        <v>125</v>
      </c>
      <c r="L8" s="4">
        <v>120</v>
      </c>
      <c r="M8" s="4">
        <v>122</v>
      </c>
      <c r="N8" s="4">
        <v>120</v>
      </c>
      <c r="O8" s="4">
        <v>70</v>
      </c>
      <c r="P8" s="4">
        <v>60</v>
      </c>
      <c r="Q8" s="49"/>
      <c r="R8" s="49"/>
      <c r="S8" s="50"/>
    </row>
    <row r="9" spans="1:19">
      <c r="A9" s="5" t="s">
        <v>68</v>
      </c>
      <c r="B9" s="5" t="s">
        <v>101</v>
      </c>
      <c r="C9" s="67">
        <v>1061803</v>
      </c>
      <c r="D9" s="70" t="s">
        <v>113</v>
      </c>
      <c r="E9" s="5" t="s">
        <v>112</v>
      </c>
      <c r="F9" s="5" t="s">
        <v>1148</v>
      </c>
      <c r="G9" s="5" t="s">
        <v>111</v>
      </c>
      <c r="H9" s="149">
        <f t="shared" si="0"/>
        <v>-3.2258064516129031E-2</v>
      </c>
      <c r="I9" s="150">
        <f t="shared" si="1"/>
        <v>-5</v>
      </c>
      <c r="J9" s="148">
        <v>150</v>
      </c>
      <c r="K9" s="4">
        <v>155</v>
      </c>
      <c r="L9" s="4">
        <v>160</v>
      </c>
      <c r="M9" s="4">
        <v>140</v>
      </c>
      <c r="N9" s="4">
        <v>150</v>
      </c>
      <c r="O9" s="4">
        <v>155</v>
      </c>
      <c r="P9" s="4">
        <v>165</v>
      </c>
      <c r="Q9" s="4">
        <v>185</v>
      </c>
      <c r="R9" s="4">
        <v>130</v>
      </c>
      <c r="S9" s="71">
        <v>130</v>
      </c>
    </row>
    <row r="10" spans="1:19">
      <c r="A10" s="5" t="s">
        <v>68</v>
      </c>
      <c r="B10" s="5" t="s">
        <v>101</v>
      </c>
      <c r="C10" s="67">
        <v>1061795</v>
      </c>
      <c r="D10" s="70" t="s">
        <v>25</v>
      </c>
      <c r="E10" s="5" t="s">
        <v>27</v>
      </c>
      <c r="F10" s="5" t="s">
        <v>1147</v>
      </c>
      <c r="G10" s="5" t="s">
        <v>3</v>
      </c>
      <c r="H10" s="147">
        <f t="shared" si="0"/>
        <v>1</v>
      </c>
      <c r="I10" s="173">
        <f t="shared" si="1"/>
        <v>20</v>
      </c>
      <c r="J10" s="4">
        <v>40</v>
      </c>
      <c r="K10" s="4">
        <v>20</v>
      </c>
      <c r="L10" s="4">
        <v>13</v>
      </c>
      <c r="M10" s="4">
        <v>13</v>
      </c>
      <c r="N10" s="4">
        <v>11</v>
      </c>
      <c r="O10" s="4">
        <v>8</v>
      </c>
      <c r="P10" s="4">
        <v>5</v>
      </c>
      <c r="Q10" s="4">
        <v>25</v>
      </c>
      <c r="R10" s="4">
        <v>25</v>
      </c>
      <c r="S10" s="71">
        <v>25</v>
      </c>
    </row>
    <row r="11" spans="1:19">
      <c r="A11" s="5" t="s">
        <v>68</v>
      </c>
      <c r="B11" s="5" t="s">
        <v>101</v>
      </c>
      <c r="C11" s="67">
        <v>1061787</v>
      </c>
      <c r="D11" s="70" t="s">
        <v>25</v>
      </c>
      <c r="E11" s="5" t="s">
        <v>110</v>
      </c>
      <c r="F11" s="5" t="s">
        <v>1148</v>
      </c>
      <c r="G11" s="5" t="s">
        <v>3</v>
      </c>
      <c r="H11" s="58">
        <f t="shared" si="0"/>
        <v>0</v>
      </c>
      <c r="I11" s="59">
        <f t="shared" si="1"/>
        <v>0</v>
      </c>
      <c r="J11" s="4">
        <v>32</v>
      </c>
      <c r="K11" s="4">
        <v>32</v>
      </c>
      <c r="L11" s="4">
        <v>32</v>
      </c>
      <c r="M11" s="4">
        <v>32</v>
      </c>
      <c r="N11" s="4">
        <v>32</v>
      </c>
      <c r="O11" s="4">
        <v>32</v>
      </c>
      <c r="P11" s="4">
        <v>32</v>
      </c>
      <c r="Q11" s="4">
        <v>32</v>
      </c>
      <c r="R11" s="4">
        <v>32</v>
      </c>
      <c r="S11" s="71">
        <v>32</v>
      </c>
    </row>
    <row r="12" spans="1:19">
      <c r="A12" s="5" t="s">
        <v>68</v>
      </c>
      <c r="B12" s="5" t="s">
        <v>101</v>
      </c>
      <c r="C12" s="67">
        <v>1061753</v>
      </c>
      <c r="D12" s="70" t="s">
        <v>25</v>
      </c>
      <c r="E12" s="5" t="s">
        <v>107</v>
      </c>
      <c r="F12" s="5" t="s">
        <v>1147</v>
      </c>
      <c r="G12" s="5" t="s">
        <v>109</v>
      </c>
      <c r="H12" s="58">
        <f t="shared" si="0"/>
        <v>0</v>
      </c>
      <c r="I12" s="59">
        <f t="shared" si="1"/>
        <v>0</v>
      </c>
      <c r="J12" s="4">
        <v>80</v>
      </c>
      <c r="K12" s="4">
        <v>80</v>
      </c>
      <c r="L12" s="4">
        <v>80</v>
      </c>
      <c r="M12" s="4">
        <v>80</v>
      </c>
      <c r="N12" s="4">
        <v>80</v>
      </c>
      <c r="O12" s="4">
        <v>80</v>
      </c>
      <c r="P12" s="4">
        <v>80</v>
      </c>
      <c r="Q12" s="4">
        <v>70</v>
      </c>
      <c r="R12" s="4">
        <v>80</v>
      </c>
      <c r="S12" s="71">
        <v>100</v>
      </c>
    </row>
    <row r="13" spans="1:19">
      <c r="A13" s="5" t="s">
        <v>68</v>
      </c>
      <c r="B13" s="5" t="s">
        <v>101</v>
      </c>
      <c r="C13" s="67">
        <v>1061746</v>
      </c>
      <c r="D13" s="70" t="s">
        <v>108</v>
      </c>
      <c r="E13" s="5" t="s">
        <v>107</v>
      </c>
      <c r="F13" s="5" t="s">
        <v>1147</v>
      </c>
      <c r="G13" s="5" t="s">
        <v>106</v>
      </c>
      <c r="H13" s="17">
        <f t="shared" si="0"/>
        <v>7.1428571428571425E-2</v>
      </c>
      <c r="I13" s="5">
        <f t="shared" si="1"/>
        <v>2</v>
      </c>
      <c r="J13" s="4">
        <v>30</v>
      </c>
      <c r="K13" s="4">
        <v>28</v>
      </c>
      <c r="L13" s="4">
        <v>16</v>
      </c>
      <c r="M13" s="4">
        <v>16</v>
      </c>
      <c r="N13" s="4">
        <v>15</v>
      </c>
      <c r="O13" s="4">
        <v>15</v>
      </c>
      <c r="P13" s="4">
        <v>15</v>
      </c>
      <c r="Q13" s="4">
        <v>15</v>
      </c>
      <c r="R13" s="4">
        <v>20</v>
      </c>
      <c r="S13" s="71">
        <v>20</v>
      </c>
    </row>
    <row r="14" spans="1:19">
      <c r="A14" s="5" t="s">
        <v>68</v>
      </c>
      <c r="B14" s="5" t="s">
        <v>101</v>
      </c>
      <c r="C14" s="67">
        <v>1059740</v>
      </c>
      <c r="D14" s="70" t="s">
        <v>25</v>
      </c>
      <c r="E14" s="5" t="s">
        <v>105</v>
      </c>
      <c r="F14" s="5" t="s">
        <v>1148</v>
      </c>
      <c r="G14" s="5" t="s">
        <v>104</v>
      </c>
      <c r="H14" s="174">
        <f t="shared" si="0"/>
        <v>0.1951219512195122</v>
      </c>
      <c r="I14" s="173">
        <f t="shared" si="1"/>
        <v>8</v>
      </c>
      <c r="J14" s="4">
        <v>49</v>
      </c>
      <c r="K14" s="4">
        <v>41</v>
      </c>
      <c r="L14" s="4">
        <v>40</v>
      </c>
      <c r="M14" s="4">
        <v>60</v>
      </c>
      <c r="N14" s="4">
        <v>65</v>
      </c>
      <c r="O14" s="4">
        <v>55</v>
      </c>
      <c r="P14" s="4">
        <v>90</v>
      </c>
      <c r="Q14" s="4">
        <v>90</v>
      </c>
      <c r="R14" s="4">
        <v>90</v>
      </c>
      <c r="S14" s="71">
        <v>90</v>
      </c>
    </row>
    <row r="15" spans="1:19">
      <c r="A15" s="5" t="s">
        <v>68</v>
      </c>
      <c r="B15" s="5" t="s">
        <v>101</v>
      </c>
      <c r="C15" s="67">
        <v>1059690</v>
      </c>
      <c r="D15" s="70" t="s">
        <v>62</v>
      </c>
      <c r="E15" s="5" t="s">
        <v>103</v>
      </c>
      <c r="F15" s="5" t="s">
        <v>1147</v>
      </c>
      <c r="G15" s="5" t="s">
        <v>102</v>
      </c>
      <c r="H15" s="174">
        <f t="shared" si="0"/>
        <v>0.13333333333333333</v>
      </c>
      <c r="I15" s="173">
        <f t="shared" si="1"/>
        <v>2</v>
      </c>
      <c r="J15" s="4">
        <v>17</v>
      </c>
      <c r="K15" s="4">
        <v>15</v>
      </c>
      <c r="L15" s="4">
        <v>38</v>
      </c>
      <c r="M15" s="4">
        <v>18</v>
      </c>
      <c r="N15" s="4">
        <v>15</v>
      </c>
      <c r="O15" s="4">
        <v>15</v>
      </c>
      <c r="P15" s="4">
        <v>30</v>
      </c>
      <c r="Q15" s="4">
        <v>30</v>
      </c>
      <c r="R15" s="4">
        <v>30</v>
      </c>
      <c r="S15" s="71">
        <v>10</v>
      </c>
    </row>
    <row r="16" spans="1:19">
      <c r="A16" s="5" t="s">
        <v>68</v>
      </c>
      <c r="B16" s="5" t="s">
        <v>101</v>
      </c>
      <c r="C16" s="67">
        <v>1057447</v>
      </c>
      <c r="D16" s="70" t="s">
        <v>100</v>
      </c>
      <c r="E16" s="5" t="s">
        <v>99</v>
      </c>
      <c r="F16" s="5" t="s">
        <v>1147</v>
      </c>
      <c r="G16" s="5" t="s">
        <v>98</v>
      </c>
      <c r="H16" s="149">
        <f t="shared" si="0"/>
        <v>-0.4</v>
      </c>
      <c r="I16" s="150">
        <f t="shared" si="1"/>
        <v>-8</v>
      </c>
      <c r="J16" s="54">
        <v>12</v>
      </c>
      <c r="K16" s="54">
        <v>20</v>
      </c>
      <c r="L16" s="54">
        <v>20</v>
      </c>
      <c r="M16" s="54">
        <v>20</v>
      </c>
      <c r="N16" s="54">
        <v>20</v>
      </c>
      <c r="O16" s="54">
        <v>30</v>
      </c>
      <c r="P16" s="54">
        <v>30</v>
      </c>
      <c r="Q16" s="54">
        <v>40</v>
      </c>
      <c r="R16" s="54">
        <v>50</v>
      </c>
      <c r="S16" s="145">
        <v>55</v>
      </c>
    </row>
    <row r="17" spans="4:19" ht="15" thickBot="1">
      <c r="D17" s="72" t="str">
        <f>"Church Count: "&amp;COUNTA(D5:D16)</f>
        <v>Church Count: 12</v>
      </c>
      <c r="E17" s="49"/>
      <c r="F17" s="49"/>
      <c r="G17" s="151" t="s">
        <v>1207</v>
      </c>
      <c r="H17" s="17"/>
      <c r="I17" s="5"/>
      <c r="J17" s="201">
        <f t="shared" ref="J17:S17" si="2">SUM(J5:J16)</f>
        <v>758</v>
      </c>
      <c r="K17" s="197">
        <f t="shared" si="2"/>
        <v>765</v>
      </c>
      <c r="L17" s="197">
        <f t="shared" si="2"/>
        <v>779</v>
      </c>
      <c r="M17" s="197">
        <f t="shared" si="2"/>
        <v>746</v>
      </c>
      <c r="N17" s="197">
        <f t="shared" si="2"/>
        <v>754</v>
      </c>
      <c r="O17" s="197">
        <f t="shared" si="2"/>
        <v>697</v>
      </c>
      <c r="P17" s="197">
        <f t="shared" si="2"/>
        <v>739</v>
      </c>
      <c r="Q17" s="197">
        <f t="shared" si="2"/>
        <v>668</v>
      </c>
      <c r="R17" s="197">
        <f t="shared" si="2"/>
        <v>579</v>
      </c>
      <c r="S17" s="198">
        <f t="shared" si="2"/>
        <v>597</v>
      </c>
    </row>
    <row r="18" spans="4:19" ht="15" thickTop="1">
      <c r="D18" s="152" t="s">
        <v>1180</v>
      </c>
      <c r="E18" s="49"/>
      <c r="F18" s="49"/>
      <c r="G18" s="151" t="s">
        <v>1208</v>
      </c>
      <c r="H18" s="49"/>
      <c r="I18" s="49"/>
      <c r="J18" s="205">
        <f>J17-K17</f>
        <v>-7</v>
      </c>
      <c r="K18" s="49"/>
      <c r="L18" s="49"/>
      <c r="M18" s="49"/>
      <c r="N18" s="49"/>
      <c r="O18" s="49"/>
      <c r="P18" s="49"/>
      <c r="Q18" s="49"/>
      <c r="R18" s="49"/>
      <c r="S18" s="50"/>
    </row>
    <row r="19" spans="4:19">
      <c r="D19" s="153" t="s">
        <v>1181</v>
      </c>
      <c r="E19" s="146"/>
      <c r="F19" s="146"/>
      <c r="G19" s="151" t="s">
        <v>1209</v>
      </c>
      <c r="H19" s="49"/>
      <c r="I19" s="49"/>
      <c r="J19" s="206">
        <f>(J17-K17)/ABS(K17)</f>
        <v>-9.1503267973856214E-3</v>
      </c>
      <c r="K19" s="49"/>
      <c r="L19" s="49"/>
      <c r="M19" s="49"/>
      <c r="N19" s="49"/>
      <c r="O19" s="49"/>
      <c r="P19" s="49"/>
      <c r="Q19" s="49"/>
      <c r="R19" s="49"/>
      <c r="S19" s="50"/>
    </row>
    <row r="20" spans="4:19">
      <c r="D20" s="170" t="s">
        <v>1210</v>
      </c>
      <c r="E20" s="49"/>
      <c r="F20" s="49"/>
      <c r="G20" s="218" t="s">
        <v>1219</v>
      </c>
      <c r="H20" s="49"/>
      <c r="I20" s="49"/>
      <c r="J20" s="222">
        <f>J17-S17</f>
        <v>161</v>
      </c>
      <c r="K20" s="49"/>
      <c r="L20" s="49"/>
      <c r="M20" s="49"/>
      <c r="N20" s="49"/>
      <c r="O20" s="49"/>
      <c r="P20" s="49"/>
      <c r="Q20" s="49"/>
      <c r="R20" s="49"/>
      <c r="S20" s="50"/>
    </row>
    <row r="21" spans="4:19">
      <c r="D21" s="154" t="s">
        <v>1182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2"/>
    </row>
    <row r="22" spans="4:19">
      <c r="H22" s="17"/>
      <c r="I22" s="5"/>
    </row>
  </sheetData>
  <mergeCells count="1">
    <mergeCell ref="D1:S1"/>
  </mergeCells>
  <printOptions horizontalCentered="1"/>
  <pageMargins left="0.7" right="0.7" top="0.75" bottom="0.75" header="0.3" footer="0.3"/>
  <pageSetup scale="76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>
    <pageSetUpPr fitToPage="1"/>
  </sheetPr>
  <dimension ref="A1:S31"/>
  <sheetViews>
    <sheetView topLeftCell="D1" workbookViewId="0">
      <selection activeCell="J30" sqref="J30"/>
    </sheetView>
  </sheetViews>
  <sheetFormatPr baseColWidth="10" defaultColWidth="10.5" defaultRowHeight="14" x14ac:dyDescent="0"/>
  <cols>
    <col min="1" max="1" width="7.1640625" style="3" hidden="1" customWidth="1"/>
    <col min="2" max="2" width="13.5" style="3" hidden="1" customWidth="1"/>
    <col min="3" max="3" width="8.1640625" style="3" hidden="1" customWidth="1"/>
    <col min="4" max="4" width="38.83203125" style="3" customWidth="1"/>
    <col min="5" max="5" width="13.5" style="3" bestFit="1" customWidth="1"/>
    <col min="6" max="6" width="10" style="3" bestFit="1" customWidth="1"/>
    <col min="7" max="7" width="22.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10.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West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Cross Timbers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27</v>
      </c>
      <c r="B5" s="5" t="s">
        <v>125</v>
      </c>
      <c r="C5" s="67">
        <v>1060532</v>
      </c>
      <c r="D5" s="70" t="s">
        <v>45</v>
      </c>
      <c r="E5" s="5" t="s">
        <v>173</v>
      </c>
      <c r="F5" s="5" t="s">
        <v>1147</v>
      </c>
      <c r="G5" s="5" t="s">
        <v>3</v>
      </c>
      <c r="H5" s="174">
        <f>(J5-K5)/ABS(K5)</f>
        <v>0.375</v>
      </c>
      <c r="I5" s="173">
        <f>J5-K5</f>
        <v>6</v>
      </c>
      <c r="J5" s="4">
        <v>22</v>
      </c>
      <c r="K5" s="4">
        <v>16</v>
      </c>
      <c r="L5" s="4">
        <v>16</v>
      </c>
      <c r="M5" s="4">
        <v>10</v>
      </c>
      <c r="N5" s="4">
        <v>10</v>
      </c>
      <c r="O5" s="4">
        <v>10</v>
      </c>
      <c r="P5" s="4">
        <v>10</v>
      </c>
      <c r="Q5" s="4">
        <v>13</v>
      </c>
      <c r="R5" s="4">
        <v>22</v>
      </c>
      <c r="S5" s="71">
        <v>21</v>
      </c>
    </row>
    <row r="6" spans="1:19">
      <c r="A6" s="5" t="s">
        <v>27</v>
      </c>
      <c r="B6" s="5" t="s">
        <v>125</v>
      </c>
      <c r="C6" s="67">
        <v>1060144</v>
      </c>
      <c r="D6" s="70" t="s">
        <v>172</v>
      </c>
      <c r="E6" s="5" t="s">
        <v>171</v>
      </c>
      <c r="F6" s="5" t="s">
        <v>1148</v>
      </c>
      <c r="G6" s="5" t="s">
        <v>170</v>
      </c>
      <c r="H6" s="62">
        <f t="shared" ref="H6:H26" si="0">(J6-K6)/ABS(K6)</f>
        <v>0</v>
      </c>
      <c r="I6" s="63">
        <f t="shared" ref="I6:I26" si="1">J6-K6</f>
        <v>0</v>
      </c>
      <c r="J6" s="4">
        <v>40</v>
      </c>
      <c r="K6" s="4">
        <v>40</v>
      </c>
      <c r="L6" s="4">
        <v>40</v>
      </c>
      <c r="M6" s="4">
        <v>43</v>
      </c>
      <c r="N6" s="4">
        <v>60</v>
      </c>
      <c r="O6" s="4">
        <v>65</v>
      </c>
      <c r="P6" s="4">
        <v>65</v>
      </c>
      <c r="Q6" s="4">
        <v>65</v>
      </c>
      <c r="R6" s="4">
        <v>60</v>
      </c>
      <c r="S6" s="71">
        <v>53</v>
      </c>
    </row>
    <row r="7" spans="1:19">
      <c r="A7" s="5" t="s">
        <v>27</v>
      </c>
      <c r="B7" s="5" t="s">
        <v>125</v>
      </c>
      <c r="C7" s="67">
        <v>1060227</v>
      </c>
      <c r="D7" s="70" t="s">
        <v>1159</v>
      </c>
      <c r="E7" s="5" t="s">
        <v>167</v>
      </c>
      <c r="F7" s="5" t="s">
        <v>1148</v>
      </c>
      <c r="G7" s="5" t="s">
        <v>169</v>
      </c>
      <c r="H7" s="149">
        <f t="shared" si="0"/>
        <v>-2.3668639053254437E-2</v>
      </c>
      <c r="I7" s="150">
        <f t="shared" si="1"/>
        <v>-4</v>
      </c>
      <c r="J7" s="4">
        <v>165</v>
      </c>
      <c r="K7" s="4">
        <v>169</v>
      </c>
      <c r="L7" s="4">
        <v>162</v>
      </c>
      <c r="M7" s="4">
        <v>132</v>
      </c>
      <c r="N7" s="4">
        <v>112</v>
      </c>
      <c r="O7" s="4">
        <v>105</v>
      </c>
      <c r="P7" s="4">
        <v>100</v>
      </c>
      <c r="Q7" s="4">
        <v>125</v>
      </c>
      <c r="R7" s="4">
        <v>110</v>
      </c>
      <c r="S7" s="71">
        <v>110</v>
      </c>
    </row>
    <row r="8" spans="1:19">
      <c r="A8" s="5" t="s">
        <v>27</v>
      </c>
      <c r="B8" s="5" t="s">
        <v>125</v>
      </c>
      <c r="C8" s="67">
        <v>1060250</v>
      </c>
      <c r="D8" s="70" t="s">
        <v>168</v>
      </c>
      <c r="E8" s="5" t="s">
        <v>167</v>
      </c>
      <c r="F8" s="5" t="s">
        <v>1148</v>
      </c>
      <c r="G8" s="5" t="s">
        <v>166</v>
      </c>
      <c r="H8" s="17">
        <f t="shared" si="0"/>
        <v>0.05</v>
      </c>
      <c r="I8" s="5">
        <f t="shared" si="1"/>
        <v>1</v>
      </c>
      <c r="J8" s="4">
        <v>21</v>
      </c>
      <c r="K8" s="4">
        <v>20</v>
      </c>
      <c r="L8" s="4">
        <v>20</v>
      </c>
      <c r="M8" s="4">
        <v>42</v>
      </c>
      <c r="N8" s="4">
        <v>42</v>
      </c>
      <c r="O8" s="4">
        <v>42</v>
      </c>
      <c r="P8" s="4">
        <v>42</v>
      </c>
      <c r="Q8" s="4">
        <v>40</v>
      </c>
      <c r="R8" s="4">
        <v>40</v>
      </c>
      <c r="S8" s="71">
        <v>40</v>
      </c>
    </row>
    <row r="9" spans="1:19">
      <c r="A9" s="5" t="s">
        <v>27</v>
      </c>
      <c r="B9" s="5" t="s">
        <v>125</v>
      </c>
      <c r="C9" s="67">
        <v>1060268</v>
      </c>
      <c r="D9" s="70" t="s">
        <v>25</v>
      </c>
      <c r="E9" s="5" t="s">
        <v>165</v>
      </c>
      <c r="F9" s="5" t="s">
        <v>1147</v>
      </c>
      <c r="G9" s="5" t="s">
        <v>164</v>
      </c>
      <c r="H9" s="174">
        <f t="shared" si="0"/>
        <v>0.15384615384615385</v>
      </c>
      <c r="I9" s="173">
        <f t="shared" si="1"/>
        <v>6</v>
      </c>
      <c r="J9" s="4">
        <v>45</v>
      </c>
      <c r="K9" s="4">
        <v>39</v>
      </c>
      <c r="L9" s="4">
        <v>39</v>
      </c>
      <c r="M9" s="4">
        <v>23</v>
      </c>
      <c r="N9" s="4">
        <v>45</v>
      </c>
      <c r="O9" s="4">
        <v>40</v>
      </c>
      <c r="P9" s="4">
        <v>55</v>
      </c>
      <c r="Q9" s="4">
        <v>50</v>
      </c>
      <c r="R9" s="4">
        <v>30</v>
      </c>
      <c r="S9" s="71">
        <v>40</v>
      </c>
    </row>
    <row r="10" spans="1:19">
      <c r="A10" s="5" t="s">
        <v>27</v>
      </c>
      <c r="B10" s="5" t="s">
        <v>125</v>
      </c>
      <c r="C10" s="67">
        <v>1060318</v>
      </c>
      <c r="D10" s="70" t="s">
        <v>25</v>
      </c>
      <c r="E10" s="5" t="s">
        <v>138</v>
      </c>
      <c r="F10" s="5" t="s">
        <v>1148</v>
      </c>
      <c r="G10" s="5" t="s">
        <v>163</v>
      </c>
      <c r="H10" s="17">
        <f t="shared" si="0"/>
        <v>2.8037383177570093E-2</v>
      </c>
      <c r="I10" s="5">
        <f t="shared" si="1"/>
        <v>3</v>
      </c>
      <c r="J10" s="4">
        <v>110</v>
      </c>
      <c r="K10" s="4">
        <v>107</v>
      </c>
      <c r="L10" s="4">
        <v>96</v>
      </c>
      <c r="M10" s="4">
        <v>88</v>
      </c>
      <c r="N10" s="4">
        <v>85</v>
      </c>
      <c r="O10" s="4">
        <v>75</v>
      </c>
      <c r="P10" s="4">
        <v>101</v>
      </c>
      <c r="Q10" s="4">
        <v>89</v>
      </c>
      <c r="R10" s="4">
        <v>97</v>
      </c>
      <c r="S10" s="71">
        <v>97</v>
      </c>
    </row>
    <row r="11" spans="1:19">
      <c r="A11" s="5" t="s">
        <v>27</v>
      </c>
      <c r="B11" s="5" t="s">
        <v>125</v>
      </c>
      <c r="C11" s="67">
        <v>1060367</v>
      </c>
      <c r="D11" s="70" t="s">
        <v>55</v>
      </c>
      <c r="E11" s="5" t="s">
        <v>161</v>
      </c>
      <c r="F11" s="5" t="s">
        <v>1147</v>
      </c>
      <c r="G11" s="5" t="s">
        <v>162</v>
      </c>
      <c r="H11" s="149">
        <f t="shared" si="0"/>
        <v>-0.18367346938775511</v>
      </c>
      <c r="I11" s="150">
        <f t="shared" si="1"/>
        <v>-9</v>
      </c>
      <c r="J11" s="4">
        <v>40</v>
      </c>
      <c r="K11" s="4">
        <v>49</v>
      </c>
      <c r="L11" s="4">
        <v>49</v>
      </c>
      <c r="M11" s="4">
        <v>56</v>
      </c>
      <c r="N11" s="4">
        <v>51</v>
      </c>
      <c r="O11" s="4">
        <v>44</v>
      </c>
      <c r="P11" s="4">
        <v>65</v>
      </c>
      <c r="Q11" s="4">
        <v>55</v>
      </c>
      <c r="R11" s="4">
        <v>60</v>
      </c>
      <c r="S11" s="71">
        <v>50</v>
      </c>
    </row>
    <row r="12" spans="1:19">
      <c r="A12" s="5" t="s">
        <v>27</v>
      </c>
      <c r="B12" s="5" t="s">
        <v>125</v>
      </c>
      <c r="C12" s="67">
        <v>1060375</v>
      </c>
      <c r="D12" s="70" t="s">
        <v>25</v>
      </c>
      <c r="E12" s="5" t="s">
        <v>161</v>
      </c>
      <c r="F12" s="5" t="s">
        <v>1148</v>
      </c>
      <c r="G12" s="5" t="s">
        <v>160</v>
      </c>
      <c r="H12" s="149">
        <f t="shared" si="0"/>
        <v>-0.2982456140350877</v>
      </c>
      <c r="I12" s="150">
        <f t="shared" si="1"/>
        <v>-17</v>
      </c>
      <c r="J12" s="4">
        <v>40</v>
      </c>
      <c r="K12" s="4">
        <v>57</v>
      </c>
      <c r="L12" s="4">
        <v>47</v>
      </c>
      <c r="M12" s="4">
        <v>27</v>
      </c>
      <c r="N12" s="4">
        <v>29</v>
      </c>
      <c r="O12" s="4">
        <v>45</v>
      </c>
      <c r="P12" s="4">
        <v>45</v>
      </c>
      <c r="Q12" s="4">
        <v>44</v>
      </c>
      <c r="R12" s="4">
        <v>44</v>
      </c>
      <c r="S12" s="71">
        <v>41</v>
      </c>
    </row>
    <row r="13" spans="1:19">
      <c r="A13" s="5" t="s">
        <v>27</v>
      </c>
      <c r="B13" s="5" t="s">
        <v>125</v>
      </c>
      <c r="C13" s="67">
        <v>1060441</v>
      </c>
      <c r="D13" s="70" t="s">
        <v>1160</v>
      </c>
      <c r="E13" s="5" t="s">
        <v>159</v>
      </c>
      <c r="F13" s="5" t="s">
        <v>1148</v>
      </c>
      <c r="G13" s="5" t="s">
        <v>158</v>
      </c>
      <c r="H13" s="174">
        <f t="shared" si="0"/>
        <v>0.10476190476190476</v>
      </c>
      <c r="I13" s="173">
        <f t="shared" si="1"/>
        <v>11</v>
      </c>
      <c r="J13" s="4">
        <v>116</v>
      </c>
      <c r="K13" s="4">
        <v>105</v>
      </c>
      <c r="L13" s="4">
        <v>105</v>
      </c>
      <c r="M13" s="4">
        <v>101</v>
      </c>
      <c r="N13" s="4">
        <v>16</v>
      </c>
      <c r="O13" s="4">
        <v>26</v>
      </c>
      <c r="P13" s="4">
        <v>16</v>
      </c>
      <c r="Q13" s="4">
        <v>15</v>
      </c>
      <c r="R13" s="4">
        <v>23</v>
      </c>
      <c r="S13" s="71">
        <v>26</v>
      </c>
    </row>
    <row r="14" spans="1:19">
      <c r="A14" s="5" t="s">
        <v>27</v>
      </c>
      <c r="B14" s="5" t="s">
        <v>125</v>
      </c>
      <c r="C14" s="67">
        <v>1060102</v>
      </c>
      <c r="D14" s="70" t="s">
        <v>157</v>
      </c>
      <c r="E14" s="5" t="s">
        <v>135</v>
      </c>
      <c r="F14" s="5" t="s">
        <v>1148</v>
      </c>
      <c r="G14" s="5" t="s">
        <v>156</v>
      </c>
      <c r="H14" s="17">
        <f t="shared" si="0"/>
        <v>2.564102564102564E-2</v>
      </c>
      <c r="I14" s="5">
        <f t="shared" si="1"/>
        <v>8</v>
      </c>
      <c r="J14" s="148">
        <v>320</v>
      </c>
      <c r="K14" s="4">
        <v>312</v>
      </c>
      <c r="L14" s="4">
        <v>295</v>
      </c>
      <c r="M14" s="4">
        <v>305</v>
      </c>
      <c r="N14" s="4">
        <v>310</v>
      </c>
      <c r="O14" s="4">
        <v>350</v>
      </c>
      <c r="P14" s="4">
        <v>300</v>
      </c>
      <c r="Q14" s="4">
        <v>300</v>
      </c>
      <c r="R14" s="4">
        <v>320</v>
      </c>
      <c r="S14" s="71">
        <v>200</v>
      </c>
    </row>
    <row r="15" spans="1:19">
      <c r="A15" s="5" t="s">
        <v>27</v>
      </c>
      <c r="B15" s="5" t="s">
        <v>125</v>
      </c>
      <c r="C15" s="67">
        <v>1060482</v>
      </c>
      <c r="D15" s="70" t="s">
        <v>75</v>
      </c>
      <c r="E15" s="5" t="s">
        <v>155</v>
      </c>
      <c r="F15" s="5" t="s">
        <v>1148</v>
      </c>
      <c r="G15" s="5" t="s">
        <v>154</v>
      </c>
      <c r="H15" s="149">
        <f t="shared" si="0"/>
        <v>-0.14285714285714285</v>
      </c>
      <c r="I15" s="150">
        <f t="shared" si="1"/>
        <v>-5</v>
      </c>
      <c r="J15" s="4">
        <v>30</v>
      </c>
      <c r="K15" s="4">
        <v>35</v>
      </c>
      <c r="L15" s="4">
        <v>35</v>
      </c>
      <c r="M15" s="4">
        <v>40</v>
      </c>
      <c r="N15" s="4">
        <v>40</v>
      </c>
      <c r="O15" s="4">
        <v>35</v>
      </c>
      <c r="P15" s="4">
        <v>50</v>
      </c>
      <c r="Q15" s="4">
        <v>40</v>
      </c>
      <c r="R15" s="4">
        <v>45</v>
      </c>
      <c r="S15" s="71">
        <v>60</v>
      </c>
    </row>
    <row r="16" spans="1:19">
      <c r="A16" s="5" t="s">
        <v>27</v>
      </c>
      <c r="B16" s="5" t="s">
        <v>125</v>
      </c>
      <c r="C16" s="67">
        <v>1004704</v>
      </c>
      <c r="D16" s="70" t="s">
        <v>153</v>
      </c>
      <c r="E16" s="5" t="s">
        <v>152</v>
      </c>
      <c r="F16" s="5" t="s">
        <v>1148</v>
      </c>
      <c r="G16" s="5" t="s">
        <v>151</v>
      </c>
      <c r="H16" s="149">
        <f t="shared" si="0"/>
        <v>-0.11666666666666667</v>
      </c>
      <c r="I16" s="150">
        <f t="shared" si="1"/>
        <v>-14</v>
      </c>
      <c r="J16" s="4">
        <v>106</v>
      </c>
      <c r="K16" s="4">
        <v>120</v>
      </c>
      <c r="L16" s="4">
        <v>134</v>
      </c>
      <c r="M16" s="4">
        <v>124</v>
      </c>
      <c r="N16" s="4">
        <v>141</v>
      </c>
      <c r="O16" s="4">
        <v>123</v>
      </c>
      <c r="P16" s="4">
        <v>120</v>
      </c>
      <c r="Q16" s="4">
        <v>140</v>
      </c>
      <c r="R16" s="4">
        <v>140</v>
      </c>
      <c r="S16" s="71">
        <v>132</v>
      </c>
    </row>
    <row r="17" spans="1:19">
      <c r="A17" s="5" t="s">
        <v>27</v>
      </c>
      <c r="B17" s="5" t="s">
        <v>125</v>
      </c>
      <c r="C17" s="67">
        <v>1061035</v>
      </c>
      <c r="D17" s="70" t="s">
        <v>150</v>
      </c>
      <c r="E17" s="5" t="s">
        <v>149</v>
      </c>
      <c r="F17" s="5" t="s">
        <v>1148</v>
      </c>
      <c r="G17" s="5" t="s">
        <v>148</v>
      </c>
      <c r="H17" s="149">
        <f t="shared" si="0"/>
        <v>-0.5</v>
      </c>
      <c r="I17" s="150">
        <f t="shared" si="1"/>
        <v>-25</v>
      </c>
      <c r="J17" s="4">
        <v>25</v>
      </c>
      <c r="K17" s="4">
        <v>50</v>
      </c>
      <c r="L17" s="4">
        <v>64</v>
      </c>
      <c r="M17" s="4">
        <v>50</v>
      </c>
      <c r="N17" s="4">
        <v>53</v>
      </c>
      <c r="O17" s="4">
        <v>89</v>
      </c>
      <c r="P17" s="4">
        <v>51</v>
      </c>
      <c r="Q17" s="4">
        <v>60</v>
      </c>
      <c r="R17" s="4">
        <v>67</v>
      </c>
      <c r="S17" s="71">
        <v>90</v>
      </c>
    </row>
    <row r="18" spans="1:19">
      <c r="A18" s="5" t="s">
        <v>27</v>
      </c>
      <c r="B18" s="5" t="s">
        <v>125</v>
      </c>
      <c r="C18" s="67">
        <v>1061407</v>
      </c>
      <c r="D18" s="70" t="s">
        <v>147</v>
      </c>
      <c r="E18" s="5" t="s">
        <v>146</v>
      </c>
      <c r="F18" s="5" t="s">
        <v>1148</v>
      </c>
      <c r="G18" s="5" t="s">
        <v>145</v>
      </c>
      <c r="H18" s="149">
        <f t="shared" si="0"/>
        <v>-5.2805280528052806E-2</v>
      </c>
      <c r="I18" s="150">
        <f t="shared" si="1"/>
        <v>-16</v>
      </c>
      <c r="J18" s="4">
        <v>287</v>
      </c>
      <c r="K18" s="4">
        <v>303</v>
      </c>
      <c r="L18" s="4">
        <v>317</v>
      </c>
      <c r="M18" s="4">
        <v>216</v>
      </c>
      <c r="N18" s="4">
        <v>328</v>
      </c>
      <c r="O18" s="4">
        <v>308</v>
      </c>
      <c r="P18" s="4">
        <v>363</v>
      </c>
      <c r="Q18" s="4">
        <v>401</v>
      </c>
      <c r="R18" s="4">
        <v>356</v>
      </c>
      <c r="S18" s="71">
        <v>302</v>
      </c>
    </row>
    <row r="19" spans="1:19">
      <c r="A19" s="5" t="s">
        <v>27</v>
      </c>
      <c r="B19" s="5" t="s">
        <v>125</v>
      </c>
      <c r="C19" s="67">
        <v>1061456</v>
      </c>
      <c r="D19" s="70" t="s">
        <v>25</v>
      </c>
      <c r="E19" s="5" t="s">
        <v>144</v>
      </c>
      <c r="F19" s="5" t="s">
        <v>1148</v>
      </c>
      <c r="G19" s="5" t="s">
        <v>143</v>
      </c>
      <c r="H19" s="174">
        <f t="shared" si="0"/>
        <v>0.23076923076923078</v>
      </c>
      <c r="I19" s="173">
        <f t="shared" si="1"/>
        <v>15</v>
      </c>
      <c r="J19" s="4">
        <v>80</v>
      </c>
      <c r="K19" s="4">
        <v>65</v>
      </c>
      <c r="L19" s="4">
        <v>60</v>
      </c>
      <c r="M19" s="4">
        <v>60</v>
      </c>
      <c r="N19" s="4">
        <v>60</v>
      </c>
      <c r="O19" s="4">
        <v>50</v>
      </c>
      <c r="P19" s="4">
        <v>55</v>
      </c>
      <c r="Q19" s="4">
        <v>48</v>
      </c>
      <c r="R19" s="4">
        <v>53</v>
      </c>
      <c r="S19" s="71">
        <v>62</v>
      </c>
    </row>
    <row r="20" spans="1:19">
      <c r="A20" s="5" t="s">
        <v>27</v>
      </c>
      <c r="B20" s="5" t="s">
        <v>125</v>
      </c>
      <c r="C20" s="67">
        <v>1061498</v>
      </c>
      <c r="D20" s="70" t="s">
        <v>142</v>
      </c>
      <c r="E20" s="5" t="s">
        <v>141</v>
      </c>
      <c r="F20" s="5" t="s">
        <v>1148</v>
      </c>
      <c r="G20" s="5" t="s">
        <v>140</v>
      </c>
      <c r="H20" s="149">
        <f t="shared" si="0"/>
        <v>-7.1428571428571425E-2</v>
      </c>
      <c r="I20" s="150">
        <f t="shared" si="1"/>
        <v>-5</v>
      </c>
      <c r="J20" s="4">
        <v>65</v>
      </c>
      <c r="K20" s="4">
        <v>70</v>
      </c>
      <c r="L20" s="4">
        <v>60</v>
      </c>
      <c r="M20" s="4">
        <v>60</v>
      </c>
      <c r="N20" s="4">
        <v>45</v>
      </c>
      <c r="O20" s="4">
        <v>45</v>
      </c>
      <c r="P20" s="4">
        <v>45</v>
      </c>
      <c r="Q20" s="4">
        <v>75</v>
      </c>
      <c r="R20" s="4">
        <v>75</v>
      </c>
      <c r="S20" s="71">
        <v>95</v>
      </c>
    </row>
    <row r="21" spans="1:19">
      <c r="A21" s="5" t="s">
        <v>27</v>
      </c>
      <c r="B21" s="5" t="s">
        <v>125</v>
      </c>
      <c r="C21" s="67">
        <v>1103852</v>
      </c>
      <c r="D21" s="70" t="s">
        <v>139</v>
      </c>
      <c r="E21" s="5" t="s">
        <v>138</v>
      </c>
      <c r="F21" s="5" t="s">
        <v>1148</v>
      </c>
      <c r="G21" s="5" t="s">
        <v>137</v>
      </c>
      <c r="H21" s="174">
        <f t="shared" si="0"/>
        <v>0.24</v>
      </c>
      <c r="I21" s="173">
        <f t="shared" si="1"/>
        <v>6</v>
      </c>
      <c r="J21" s="4">
        <v>31</v>
      </c>
      <c r="K21" s="4">
        <v>25</v>
      </c>
      <c r="L21" s="4">
        <v>31</v>
      </c>
      <c r="M21" s="4">
        <v>32</v>
      </c>
      <c r="N21" s="4">
        <v>27</v>
      </c>
      <c r="O21" s="4">
        <v>48</v>
      </c>
      <c r="P21" s="4">
        <v>43</v>
      </c>
      <c r="Q21" s="4">
        <v>52</v>
      </c>
      <c r="R21" s="4">
        <v>35</v>
      </c>
      <c r="S21" s="71">
        <v>39</v>
      </c>
    </row>
    <row r="22" spans="1:19">
      <c r="A22" s="5" t="s">
        <v>27</v>
      </c>
      <c r="B22" s="5" t="s">
        <v>125</v>
      </c>
      <c r="C22" s="67">
        <v>1540582</v>
      </c>
      <c r="D22" s="70" t="s">
        <v>136</v>
      </c>
      <c r="E22" s="5" t="s">
        <v>135</v>
      </c>
      <c r="F22" s="5" t="s">
        <v>1148</v>
      </c>
      <c r="G22" s="5" t="s">
        <v>134</v>
      </c>
      <c r="H22" s="149">
        <f t="shared" si="0"/>
        <v>-0.30769230769230771</v>
      </c>
      <c r="I22" s="150">
        <f t="shared" si="1"/>
        <v>-20</v>
      </c>
      <c r="J22" s="4">
        <v>45</v>
      </c>
      <c r="K22" s="4">
        <v>65</v>
      </c>
      <c r="L22" s="4">
        <v>52</v>
      </c>
      <c r="M22" s="4">
        <v>22</v>
      </c>
      <c r="N22" s="4">
        <v>48</v>
      </c>
      <c r="O22" s="4">
        <v>50</v>
      </c>
      <c r="P22" s="4">
        <v>58</v>
      </c>
      <c r="Q22" s="4">
        <v>58</v>
      </c>
      <c r="R22" s="4">
        <v>55</v>
      </c>
      <c r="S22" s="71">
        <v>44</v>
      </c>
    </row>
    <row r="23" spans="1:19">
      <c r="A23" s="5" t="s">
        <v>27</v>
      </c>
      <c r="B23" s="5" t="s">
        <v>125</v>
      </c>
      <c r="C23" s="67">
        <v>1758085</v>
      </c>
      <c r="D23" s="70" t="s">
        <v>133</v>
      </c>
      <c r="E23" s="5" t="s">
        <v>130</v>
      </c>
      <c r="F23" s="5" t="s">
        <v>1147</v>
      </c>
      <c r="G23" s="5" t="s">
        <v>132</v>
      </c>
      <c r="H23" s="174">
        <f t="shared" si="0"/>
        <v>0.11764705882352941</v>
      </c>
      <c r="I23" s="173">
        <f t="shared" si="1"/>
        <v>2</v>
      </c>
      <c r="J23" s="4">
        <v>19</v>
      </c>
      <c r="K23" s="4">
        <v>17</v>
      </c>
      <c r="L23" s="4">
        <v>19</v>
      </c>
      <c r="M23" s="4">
        <v>18</v>
      </c>
      <c r="N23" s="4">
        <v>19</v>
      </c>
      <c r="O23" s="4">
        <v>17</v>
      </c>
      <c r="P23" s="4">
        <v>15</v>
      </c>
      <c r="Q23" s="4">
        <v>33</v>
      </c>
      <c r="R23" s="4">
        <v>27</v>
      </c>
      <c r="S23" s="71">
        <v>22</v>
      </c>
    </row>
    <row r="24" spans="1:19">
      <c r="A24" s="5" t="s">
        <v>27</v>
      </c>
      <c r="B24" s="5" t="s">
        <v>125</v>
      </c>
      <c r="C24" s="67">
        <v>1759034</v>
      </c>
      <c r="D24" s="70" t="s">
        <v>131</v>
      </c>
      <c r="E24" s="5" t="s">
        <v>130</v>
      </c>
      <c r="F24" s="5" t="s">
        <v>1147</v>
      </c>
      <c r="G24" s="5" t="s">
        <v>129</v>
      </c>
      <c r="H24" s="17" t="s">
        <v>1154</v>
      </c>
      <c r="I24" s="5">
        <f t="shared" si="1"/>
        <v>9</v>
      </c>
      <c r="J24" s="4">
        <v>9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A25" s="5" t="s">
        <v>27</v>
      </c>
      <c r="B25" s="5" t="s">
        <v>125</v>
      </c>
      <c r="C25" s="67">
        <v>1782838</v>
      </c>
      <c r="D25" s="70" t="s">
        <v>128</v>
      </c>
      <c r="E25" s="5" t="s">
        <v>127</v>
      </c>
      <c r="F25" s="5" t="s">
        <v>1148</v>
      </c>
      <c r="G25" s="5" t="s">
        <v>126</v>
      </c>
      <c r="H25" s="147">
        <f t="shared" si="0"/>
        <v>0.42857142857142855</v>
      </c>
      <c r="I25" s="173">
        <f t="shared" si="1"/>
        <v>60</v>
      </c>
      <c r="J25" s="4">
        <v>200</v>
      </c>
      <c r="K25" s="4">
        <v>140</v>
      </c>
      <c r="L25" s="4">
        <v>140</v>
      </c>
      <c r="M25" s="4">
        <v>140</v>
      </c>
      <c r="N25" s="4">
        <v>125</v>
      </c>
      <c r="O25" s="4">
        <v>125</v>
      </c>
      <c r="P25" s="4">
        <v>125</v>
      </c>
      <c r="Q25" s="4">
        <v>125</v>
      </c>
      <c r="R25" s="4">
        <v>150</v>
      </c>
      <c r="S25" s="71">
        <v>150</v>
      </c>
    </row>
    <row r="26" spans="1:19">
      <c r="A26" s="5" t="s">
        <v>27</v>
      </c>
      <c r="B26" s="5" t="s">
        <v>125</v>
      </c>
      <c r="C26" s="67">
        <v>1060474</v>
      </c>
      <c r="D26" s="70" t="s">
        <v>75</v>
      </c>
      <c r="E26" s="5" t="s">
        <v>124</v>
      </c>
      <c r="F26" s="5" t="s">
        <v>1147</v>
      </c>
      <c r="G26" s="5" t="s">
        <v>123</v>
      </c>
      <c r="H26" s="149">
        <f t="shared" si="0"/>
        <v>-0.16666666666666666</v>
      </c>
      <c r="I26" s="150">
        <f t="shared" si="1"/>
        <v>-2</v>
      </c>
      <c r="J26" s="54">
        <v>10</v>
      </c>
      <c r="K26" s="54">
        <v>12</v>
      </c>
      <c r="L26" s="54">
        <v>11</v>
      </c>
      <c r="M26" s="54">
        <v>9</v>
      </c>
      <c r="N26" s="54">
        <v>13</v>
      </c>
      <c r="O26" s="54">
        <v>11</v>
      </c>
      <c r="P26" s="54">
        <v>10</v>
      </c>
      <c r="Q26" s="54">
        <v>13</v>
      </c>
      <c r="R26" s="54">
        <v>16</v>
      </c>
      <c r="S26" s="145">
        <v>19</v>
      </c>
    </row>
    <row r="27" spans="1:19" ht="15" thickBot="1">
      <c r="D27" s="72" t="str">
        <f>"Church Count: "&amp;COUNTA(D5:D26)</f>
        <v>Church Count: 22</v>
      </c>
      <c r="E27" s="49"/>
      <c r="F27" s="49"/>
      <c r="G27" s="151" t="s">
        <v>1207</v>
      </c>
      <c r="H27" s="49"/>
      <c r="I27" s="49"/>
      <c r="J27" s="197">
        <f t="shared" ref="J27:S27" si="2">SUM(J5:J26)</f>
        <v>1826</v>
      </c>
      <c r="K27" s="197">
        <f t="shared" si="2"/>
        <v>1816</v>
      </c>
      <c r="L27" s="197">
        <f t="shared" si="2"/>
        <v>1792</v>
      </c>
      <c r="M27" s="197">
        <f t="shared" si="2"/>
        <v>1598</v>
      </c>
      <c r="N27" s="197">
        <f t="shared" si="2"/>
        <v>1659</v>
      </c>
      <c r="O27" s="197">
        <f t="shared" si="2"/>
        <v>1703</v>
      </c>
      <c r="P27" s="197">
        <f t="shared" si="2"/>
        <v>1734</v>
      </c>
      <c r="Q27" s="197">
        <f t="shared" si="2"/>
        <v>1841</v>
      </c>
      <c r="R27" s="197">
        <f t="shared" si="2"/>
        <v>1825</v>
      </c>
      <c r="S27" s="198">
        <f t="shared" si="2"/>
        <v>1693</v>
      </c>
    </row>
    <row r="28" spans="1:19" ht="15" thickTop="1">
      <c r="D28" s="152" t="s">
        <v>1180</v>
      </c>
      <c r="E28" s="49"/>
      <c r="F28" s="49"/>
      <c r="G28" s="151" t="s">
        <v>1208</v>
      </c>
      <c r="H28" s="49"/>
      <c r="I28" s="49"/>
      <c r="J28" s="49">
        <f>J27-K27</f>
        <v>10</v>
      </c>
      <c r="K28" s="49"/>
      <c r="L28" s="49"/>
      <c r="M28" s="49"/>
      <c r="N28" s="49"/>
      <c r="O28" s="49"/>
      <c r="P28" s="49"/>
      <c r="Q28" s="49"/>
      <c r="R28" s="49"/>
      <c r="S28" s="50"/>
    </row>
    <row r="29" spans="1:19">
      <c r="D29" s="153" t="s">
        <v>1181</v>
      </c>
      <c r="E29" s="146"/>
      <c r="F29" s="146"/>
      <c r="G29" s="151" t="s">
        <v>1209</v>
      </c>
      <c r="H29" s="49"/>
      <c r="I29" s="49"/>
      <c r="J29" s="169">
        <f>(J27-K27)/ABS(K27)</f>
        <v>5.5066079295154188E-3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70" t="s">
        <v>1210</v>
      </c>
      <c r="E30" s="49"/>
      <c r="F30" s="49"/>
      <c r="G30" s="218" t="s">
        <v>1219</v>
      </c>
      <c r="H30" s="49"/>
      <c r="I30" s="49"/>
      <c r="J30" s="222">
        <f>J27-S27</f>
        <v>133</v>
      </c>
      <c r="K30" s="49"/>
      <c r="L30" s="49"/>
      <c r="M30" s="49"/>
      <c r="N30" s="49"/>
      <c r="O30" s="49"/>
      <c r="P30" s="49"/>
      <c r="Q30" s="49"/>
      <c r="R30" s="49"/>
      <c r="S30" s="50"/>
    </row>
    <row r="31" spans="1:19">
      <c r="D31" s="154" t="s">
        <v>1182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2"/>
    </row>
  </sheetData>
  <mergeCells count="1">
    <mergeCell ref="D1:S1"/>
  </mergeCells>
  <printOptions horizontalCentered="1"/>
  <pageMargins left="0.7" right="0.7" top="0.75" bottom="0.75" header="0.3" footer="0.3"/>
  <pageSetup scale="72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>
    <pageSetUpPr fitToPage="1"/>
  </sheetPr>
  <dimension ref="A1:S28"/>
  <sheetViews>
    <sheetView topLeftCell="D1" workbookViewId="0">
      <selection activeCell="J27" sqref="J27"/>
    </sheetView>
  </sheetViews>
  <sheetFormatPr baseColWidth="10" defaultColWidth="8.83203125" defaultRowHeight="14" x14ac:dyDescent="0"/>
  <cols>
    <col min="1" max="1" width="13.1640625" style="3" hidden="1" customWidth="1"/>
    <col min="2" max="2" width="7.5" style="3" hidden="1" customWidth="1"/>
    <col min="3" max="3" width="8.1640625" style="3" hidden="1" customWidth="1"/>
    <col min="4" max="4" width="45.6640625" style="3" bestFit="1" customWidth="1"/>
    <col min="5" max="5" width="14" style="3" bestFit="1" customWidth="1"/>
    <col min="6" max="6" width="10" style="3" bestFit="1" customWidth="1"/>
    <col min="7" max="7" width="21.6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Denton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177</v>
      </c>
      <c r="B5" s="5" t="s">
        <v>175</v>
      </c>
      <c r="C5" s="67">
        <v>1243849</v>
      </c>
      <c r="D5" s="70" t="s">
        <v>222</v>
      </c>
      <c r="E5" s="5" t="s">
        <v>175</v>
      </c>
      <c r="F5" s="5" t="s">
        <v>1148</v>
      </c>
      <c r="G5" s="5" t="s">
        <v>221</v>
      </c>
      <c r="H5" s="60">
        <f>(J5-K5)/ABS(K5)</f>
        <v>0.89629629629629626</v>
      </c>
      <c r="I5" s="61">
        <f>J5-K5</f>
        <v>121</v>
      </c>
      <c r="J5" s="4">
        <v>256</v>
      </c>
      <c r="K5" s="4">
        <v>135</v>
      </c>
      <c r="L5" s="4">
        <v>135</v>
      </c>
      <c r="M5" s="4">
        <v>129</v>
      </c>
      <c r="N5" s="4">
        <v>124</v>
      </c>
      <c r="O5" s="4">
        <v>0</v>
      </c>
      <c r="P5" s="49"/>
      <c r="Q5" s="49"/>
      <c r="R5" s="49"/>
      <c r="S5" s="50"/>
    </row>
    <row r="6" spans="1:19">
      <c r="A6" s="5" t="s">
        <v>177</v>
      </c>
      <c r="B6" s="5" t="s">
        <v>175</v>
      </c>
      <c r="C6" s="67">
        <v>1058064</v>
      </c>
      <c r="D6" s="70" t="s">
        <v>220</v>
      </c>
      <c r="E6" s="5" t="s">
        <v>188</v>
      </c>
      <c r="F6" s="5" t="s">
        <v>1148</v>
      </c>
      <c r="G6" s="5" t="s">
        <v>219</v>
      </c>
      <c r="H6" s="60">
        <f t="shared" ref="H6:H23" si="0">(J6-K6)/ABS(K6)</f>
        <v>0.16666666666666666</v>
      </c>
      <c r="I6" s="61">
        <f t="shared" ref="I6:I23" si="1">J6-K6</f>
        <v>200</v>
      </c>
      <c r="J6" s="148">
        <v>1400</v>
      </c>
      <c r="K6" s="4">
        <v>1200</v>
      </c>
      <c r="L6" s="4">
        <v>1040</v>
      </c>
      <c r="M6" s="4">
        <v>850</v>
      </c>
      <c r="N6" s="4">
        <v>600</v>
      </c>
      <c r="O6" s="4">
        <v>800</v>
      </c>
      <c r="P6" s="4">
        <v>850</v>
      </c>
      <c r="Q6" s="4">
        <v>450</v>
      </c>
      <c r="R6" s="4">
        <v>1300</v>
      </c>
      <c r="S6" s="71">
        <v>1450</v>
      </c>
    </row>
    <row r="7" spans="1:19">
      <c r="A7" s="5" t="s">
        <v>177</v>
      </c>
      <c r="B7" s="5" t="s">
        <v>175</v>
      </c>
      <c r="C7" s="67">
        <v>1061019</v>
      </c>
      <c r="D7" s="70" t="s">
        <v>218</v>
      </c>
      <c r="E7" s="5" t="s">
        <v>175</v>
      </c>
      <c r="F7" s="5" t="s">
        <v>1148</v>
      </c>
      <c r="G7" s="5" t="s">
        <v>217</v>
      </c>
      <c r="H7" s="17">
        <f t="shared" si="0"/>
        <v>3.6363636363636362E-2</v>
      </c>
      <c r="I7" s="5">
        <f t="shared" si="1"/>
        <v>10</v>
      </c>
      <c r="J7" s="4">
        <v>285</v>
      </c>
      <c r="K7" s="4">
        <v>275</v>
      </c>
      <c r="L7" s="4">
        <v>250</v>
      </c>
      <c r="M7" s="4">
        <v>240</v>
      </c>
      <c r="N7" s="4">
        <v>227</v>
      </c>
      <c r="O7" s="4">
        <v>215</v>
      </c>
      <c r="P7" s="4">
        <v>210</v>
      </c>
      <c r="Q7" s="4">
        <v>200</v>
      </c>
      <c r="R7" s="4">
        <v>195</v>
      </c>
      <c r="S7" s="71">
        <v>190</v>
      </c>
    </row>
    <row r="8" spans="1:19">
      <c r="A8" s="5" t="s">
        <v>177</v>
      </c>
      <c r="B8" s="5" t="s">
        <v>175</v>
      </c>
      <c r="C8" s="67">
        <v>1061027</v>
      </c>
      <c r="D8" s="70" t="s">
        <v>216</v>
      </c>
      <c r="E8" s="5" t="s">
        <v>175</v>
      </c>
      <c r="F8" s="5" t="s">
        <v>1148</v>
      </c>
      <c r="G8" s="5" t="s">
        <v>215</v>
      </c>
      <c r="H8" s="149">
        <f t="shared" si="0"/>
        <v>-0.13333333333333333</v>
      </c>
      <c r="I8" s="150">
        <f t="shared" si="1"/>
        <v>-10</v>
      </c>
      <c r="J8" s="4">
        <v>65</v>
      </c>
      <c r="K8" s="4">
        <v>75</v>
      </c>
      <c r="L8" s="4">
        <v>75</v>
      </c>
      <c r="M8" s="4">
        <v>75</v>
      </c>
      <c r="N8" s="4">
        <v>75</v>
      </c>
      <c r="O8" s="4">
        <v>150</v>
      </c>
      <c r="P8" s="4">
        <v>150</v>
      </c>
      <c r="Q8" s="4">
        <v>150</v>
      </c>
      <c r="R8" s="4">
        <v>125</v>
      </c>
      <c r="S8" s="71">
        <v>90</v>
      </c>
    </row>
    <row r="9" spans="1:19">
      <c r="A9" s="5" t="s">
        <v>177</v>
      </c>
      <c r="B9" s="5" t="s">
        <v>175</v>
      </c>
      <c r="C9" s="67">
        <v>1061092</v>
      </c>
      <c r="D9" s="70" t="s">
        <v>214</v>
      </c>
      <c r="E9" s="5" t="s">
        <v>213</v>
      </c>
      <c r="F9" s="5" t="s">
        <v>1148</v>
      </c>
      <c r="G9" s="5" t="s">
        <v>212</v>
      </c>
      <c r="H9" s="149">
        <f t="shared" si="0"/>
        <v>-2.2988505747126436E-2</v>
      </c>
      <c r="I9" s="150">
        <f t="shared" si="1"/>
        <v>-2</v>
      </c>
      <c r="J9" s="4">
        <v>85</v>
      </c>
      <c r="K9" s="4">
        <v>87</v>
      </c>
      <c r="L9" s="4">
        <v>90</v>
      </c>
      <c r="M9" s="4">
        <v>90</v>
      </c>
      <c r="N9" s="4">
        <v>90</v>
      </c>
      <c r="O9" s="4">
        <v>85</v>
      </c>
      <c r="P9" s="4">
        <v>75</v>
      </c>
      <c r="Q9" s="4">
        <v>62</v>
      </c>
      <c r="R9" s="4">
        <v>60</v>
      </c>
      <c r="S9" s="71">
        <v>75</v>
      </c>
    </row>
    <row r="10" spans="1:19">
      <c r="A10" s="5" t="s">
        <v>177</v>
      </c>
      <c r="B10" s="5" t="s">
        <v>175</v>
      </c>
      <c r="C10" s="67">
        <v>1088657</v>
      </c>
      <c r="D10" s="70" t="s">
        <v>25</v>
      </c>
      <c r="E10" s="5" t="s">
        <v>211</v>
      </c>
      <c r="F10" s="5" t="s">
        <v>1148</v>
      </c>
      <c r="G10" s="5" t="s">
        <v>210</v>
      </c>
      <c r="H10" s="149">
        <f t="shared" si="0"/>
        <v>-4.7619047619047616E-2</v>
      </c>
      <c r="I10" s="150">
        <f t="shared" si="1"/>
        <v>-5</v>
      </c>
      <c r="J10" s="4">
        <v>100</v>
      </c>
      <c r="K10" s="4">
        <v>105</v>
      </c>
      <c r="L10" s="4">
        <v>105</v>
      </c>
      <c r="M10" s="4">
        <v>100</v>
      </c>
      <c r="N10" s="4">
        <v>100</v>
      </c>
      <c r="O10" s="4">
        <v>110</v>
      </c>
      <c r="P10" s="4">
        <v>110</v>
      </c>
      <c r="Q10" s="4">
        <v>115</v>
      </c>
      <c r="R10" s="4">
        <v>95</v>
      </c>
      <c r="S10" s="71">
        <v>112</v>
      </c>
    </row>
    <row r="11" spans="1:19">
      <c r="A11" s="5" t="s">
        <v>177</v>
      </c>
      <c r="B11" s="5" t="s">
        <v>175</v>
      </c>
      <c r="C11" s="67">
        <v>1139021</v>
      </c>
      <c r="D11" s="70" t="s">
        <v>209</v>
      </c>
      <c r="E11" s="5" t="s">
        <v>208</v>
      </c>
      <c r="F11" s="5" t="s">
        <v>1148</v>
      </c>
      <c r="G11" s="5" t="s">
        <v>207</v>
      </c>
      <c r="H11" s="149">
        <f t="shared" si="0"/>
        <v>-0.30769230769230771</v>
      </c>
      <c r="I11" s="150">
        <f t="shared" si="1"/>
        <v>-200</v>
      </c>
      <c r="J11" s="4">
        <v>450</v>
      </c>
      <c r="K11" s="4">
        <v>650</v>
      </c>
      <c r="L11" s="4">
        <v>749</v>
      </c>
      <c r="M11" s="4">
        <v>722</v>
      </c>
      <c r="N11" s="4">
        <v>645</v>
      </c>
      <c r="O11" s="4">
        <v>708</v>
      </c>
      <c r="P11" s="4">
        <v>697</v>
      </c>
      <c r="Q11" s="4">
        <v>616</v>
      </c>
      <c r="R11" s="4">
        <v>523</v>
      </c>
      <c r="S11" s="71">
        <v>302</v>
      </c>
    </row>
    <row r="12" spans="1:19">
      <c r="A12" s="5" t="s">
        <v>177</v>
      </c>
      <c r="B12" s="5" t="s">
        <v>175</v>
      </c>
      <c r="C12" s="67">
        <v>1143734</v>
      </c>
      <c r="D12" s="70" t="s">
        <v>206</v>
      </c>
      <c r="E12" s="5" t="s">
        <v>175</v>
      </c>
      <c r="F12" s="5" t="s">
        <v>1148</v>
      </c>
      <c r="G12" s="5" t="s">
        <v>205</v>
      </c>
      <c r="H12" s="58">
        <f t="shared" si="0"/>
        <v>0</v>
      </c>
      <c r="I12" s="59">
        <f t="shared" si="1"/>
        <v>0</v>
      </c>
      <c r="J12" s="4">
        <v>180</v>
      </c>
      <c r="K12" s="4">
        <v>180</v>
      </c>
      <c r="L12" s="4">
        <v>180</v>
      </c>
      <c r="M12" s="4">
        <v>125</v>
      </c>
      <c r="N12" s="4">
        <v>125</v>
      </c>
      <c r="O12" s="4">
        <v>120</v>
      </c>
      <c r="P12" s="4">
        <v>40</v>
      </c>
      <c r="Q12" s="4">
        <v>88</v>
      </c>
      <c r="R12" s="4">
        <v>95</v>
      </c>
      <c r="S12" s="71">
        <v>114</v>
      </c>
    </row>
    <row r="13" spans="1:19">
      <c r="A13" s="5" t="s">
        <v>177</v>
      </c>
      <c r="B13" s="5" t="s">
        <v>175</v>
      </c>
      <c r="C13" s="67">
        <v>1058213</v>
      </c>
      <c r="D13" s="70" t="s">
        <v>204</v>
      </c>
      <c r="E13" s="5" t="s">
        <v>188</v>
      </c>
      <c r="F13" s="5" t="s">
        <v>1148</v>
      </c>
      <c r="G13" s="5" t="s">
        <v>203</v>
      </c>
      <c r="H13" s="174">
        <f t="shared" si="0"/>
        <v>0.12</v>
      </c>
      <c r="I13" s="173">
        <f t="shared" si="1"/>
        <v>15</v>
      </c>
      <c r="J13" s="4">
        <v>140</v>
      </c>
      <c r="K13" s="4">
        <v>125</v>
      </c>
      <c r="L13" s="4">
        <v>116</v>
      </c>
      <c r="M13" s="4">
        <v>125</v>
      </c>
      <c r="N13" s="4">
        <v>151</v>
      </c>
      <c r="O13" s="4">
        <v>137</v>
      </c>
      <c r="P13" s="4">
        <v>153</v>
      </c>
      <c r="Q13" s="4">
        <v>173</v>
      </c>
      <c r="R13" s="4">
        <v>160</v>
      </c>
      <c r="S13" s="71">
        <v>146</v>
      </c>
    </row>
    <row r="14" spans="1:19">
      <c r="A14" s="5" t="s">
        <v>177</v>
      </c>
      <c r="B14" s="5" t="s">
        <v>175</v>
      </c>
      <c r="C14" s="67">
        <v>1224336</v>
      </c>
      <c r="D14" s="70" t="s">
        <v>202</v>
      </c>
      <c r="E14" s="5" t="s">
        <v>201</v>
      </c>
      <c r="F14" s="5" t="s">
        <v>1148</v>
      </c>
      <c r="G14" s="5" t="s">
        <v>200</v>
      </c>
      <c r="H14" s="58">
        <f t="shared" si="0"/>
        <v>0</v>
      </c>
      <c r="I14" s="59">
        <f t="shared" si="1"/>
        <v>0</v>
      </c>
      <c r="J14" s="4">
        <v>150</v>
      </c>
      <c r="K14" s="4">
        <v>150</v>
      </c>
      <c r="L14" s="4">
        <v>150</v>
      </c>
      <c r="M14" s="4">
        <v>130</v>
      </c>
      <c r="N14" s="4">
        <v>80</v>
      </c>
      <c r="O14" s="4">
        <v>45</v>
      </c>
      <c r="P14" s="49"/>
      <c r="Q14" s="49"/>
      <c r="R14" s="49"/>
      <c r="S14" s="50"/>
    </row>
    <row r="15" spans="1:19">
      <c r="A15" s="5" t="s">
        <v>177</v>
      </c>
      <c r="B15" s="5" t="s">
        <v>175</v>
      </c>
      <c r="C15" s="67">
        <v>1057140</v>
      </c>
      <c r="D15" s="70" t="s">
        <v>199</v>
      </c>
      <c r="E15" s="5" t="s">
        <v>182</v>
      </c>
      <c r="F15" s="5" t="s">
        <v>1148</v>
      </c>
      <c r="G15" s="5" t="s">
        <v>198</v>
      </c>
      <c r="H15" s="174">
        <f t="shared" si="0"/>
        <v>1.1499999999999999</v>
      </c>
      <c r="I15" s="173">
        <f t="shared" si="1"/>
        <v>46</v>
      </c>
      <c r="J15" s="4">
        <v>86</v>
      </c>
      <c r="K15" s="4">
        <v>40</v>
      </c>
      <c r="L15" s="4">
        <v>75</v>
      </c>
      <c r="M15" s="4">
        <v>80</v>
      </c>
      <c r="N15" s="4">
        <v>85</v>
      </c>
      <c r="O15" s="4">
        <v>100</v>
      </c>
      <c r="P15" s="4">
        <v>110</v>
      </c>
      <c r="Q15" s="4">
        <v>110</v>
      </c>
      <c r="R15" s="4">
        <v>100</v>
      </c>
      <c r="S15" s="71">
        <v>100</v>
      </c>
    </row>
    <row r="16" spans="1:19">
      <c r="A16" s="5" t="s">
        <v>177</v>
      </c>
      <c r="B16" s="5" t="s">
        <v>175</v>
      </c>
      <c r="C16" s="67">
        <v>1554211</v>
      </c>
      <c r="D16" s="70" t="s">
        <v>197</v>
      </c>
      <c r="E16" s="5" t="s">
        <v>196</v>
      </c>
      <c r="F16" s="5" t="s">
        <v>1148</v>
      </c>
      <c r="G16" s="5" t="s">
        <v>195</v>
      </c>
      <c r="H16" s="149">
        <f t="shared" si="0"/>
        <v>-7.7647058823529416E-2</v>
      </c>
      <c r="I16" s="150">
        <f t="shared" si="1"/>
        <v>-33</v>
      </c>
      <c r="J16" s="4">
        <v>392</v>
      </c>
      <c r="K16" s="4">
        <v>425</v>
      </c>
      <c r="L16" s="4">
        <v>431</v>
      </c>
      <c r="M16" s="4">
        <v>425</v>
      </c>
      <c r="N16" s="4">
        <v>650</v>
      </c>
      <c r="O16" s="4">
        <v>603</v>
      </c>
      <c r="P16" s="4">
        <v>589</v>
      </c>
      <c r="Q16" s="4">
        <v>489</v>
      </c>
      <c r="R16" s="4">
        <v>487</v>
      </c>
      <c r="S16" s="71">
        <v>587</v>
      </c>
    </row>
    <row r="17" spans="1:19">
      <c r="A17" s="5" t="s">
        <v>177</v>
      </c>
      <c r="B17" s="5" t="s">
        <v>175</v>
      </c>
      <c r="C17" s="67">
        <v>1601459</v>
      </c>
      <c r="D17" s="70" t="s">
        <v>194</v>
      </c>
      <c r="E17" s="5" t="s">
        <v>193</v>
      </c>
      <c r="F17" s="5" t="s">
        <v>1148</v>
      </c>
      <c r="G17" s="5" t="s">
        <v>192</v>
      </c>
      <c r="H17" s="149">
        <f t="shared" si="0"/>
        <v>-5.3097345132743362E-2</v>
      </c>
      <c r="I17" s="150">
        <f t="shared" si="1"/>
        <v>-6</v>
      </c>
      <c r="J17" s="4">
        <v>107</v>
      </c>
      <c r="K17" s="4">
        <v>113</v>
      </c>
      <c r="L17" s="4">
        <v>149</v>
      </c>
      <c r="M17" s="4">
        <v>155</v>
      </c>
      <c r="N17" s="4">
        <v>141</v>
      </c>
      <c r="O17" s="4">
        <v>132</v>
      </c>
      <c r="P17" s="4">
        <v>82</v>
      </c>
      <c r="Q17" s="4">
        <v>50</v>
      </c>
      <c r="R17" s="4">
        <v>80</v>
      </c>
      <c r="S17" s="71">
        <v>80</v>
      </c>
    </row>
    <row r="18" spans="1:19">
      <c r="A18" s="5" t="s">
        <v>177</v>
      </c>
      <c r="B18" s="5" t="s">
        <v>175</v>
      </c>
      <c r="C18" s="67">
        <v>1721976</v>
      </c>
      <c r="D18" s="70" t="s">
        <v>191</v>
      </c>
      <c r="E18" s="5" t="s">
        <v>188</v>
      </c>
      <c r="F18" s="5" t="s">
        <v>1149</v>
      </c>
      <c r="G18" s="5" t="s">
        <v>190</v>
      </c>
      <c r="H18" s="17" t="s">
        <v>1154</v>
      </c>
      <c r="I18" s="5">
        <f t="shared" si="1"/>
        <v>0</v>
      </c>
      <c r="J18" s="4">
        <v>0</v>
      </c>
      <c r="K18" s="4">
        <v>0</v>
      </c>
      <c r="L18" s="49"/>
      <c r="M18" s="49"/>
      <c r="N18" s="49"/>
      <c r="O18" s="49"/>
      <c r="P18" s="49"/>
      <c r="Q18" s="49"/>
      <c r="R18" s="49"/>
      <c r="S18" s="50"/>
    </row>
    <row r="19" spans="1:19">
      <c r="A19" s="5" t="s">
        <v>177</v>
      </c>
      <c r="B19" s="5" t="s">
        <v>175</v>
      </c>
      <c r="C19" s="67">
        <v>1770106</v>
      </c>
      <c r="D19" s="70" t="s">
        <v>189</v>
      </c>
      <c r="E19" s="5" t="s">
        <v>188</v>
      </c>
      <c r="F19" s="5" t="s">
        <v>1149</v>
      </c>
      <c r="G19" s="5" t="s">
        <v>187</v>
      </c>
      <c r="H19" s="17" t="s">
        <v>1154</v>
      </c>
      <c r="I19" s="5">
        <f t="shared" si="1"/>
        <v>0</v>
      </c>
      <c r="J19" s="4">
        <v>0</v>
      </c>
      <c r="K19" s="49"/>
      <c r="L19" s="49"/>
      <c r="M19" s="49"/>
      <c r="N19" s="49"/>
      <c r="O19" s="49"/>
      <c r="P19" s="49"/>
      <c r="Q19" s="49"/>
      <c r="R19" s="49"/>
      <c r="S19" s="50"/>
    </row>
    <row r="20" spans="1:19">
      <c r="A20" s="5" t="s">
        <v>177</v>
      </c>
      <c r="B20" s="5" t="s">
        <v>175</v>
      </c>
      <c r="C20" s="67">
        <v>1848571</v>
      </c>
      <c r="D20" s="70" t="s">
        <v>186</v>
      </c>
      <c r="E20" s="5" t="s">
        <v>185</v>
      </c>
      <c r="F20" s="5" t="s">
        <v>1148</v>
      </c>
      <c r="G20" s="5" t="s">
        <v>184</v>
      </c>
      <c r="H20" s="149">
        <f t="shared" si="0"/>
        <v>-0.2</v>
      </c>
      <c r="I20" s="150">
        <f t="shared" si="1"/>
        <v>-50</v>
      </c>
      <c r="J20" s="4">
        <v>200</v>
      </c>
      <c r="K20" s="4">
        <v>250</v>
      </c>
      <c r="L20" s="4">
        <v>300</v>
      </c>
      <c r="M20" s="4">
        <v>300</v>
      </c>
      <c r="N20" s="4">
        <v>225</v>
      </c>
      <c r="O20" s="4">
        <v>200</v>
      </c>
      <c r="P20" s="4">
        <v>250</v>
      </c>
      <c r="Q20" s="4">
        <v>350</v>
      </c>
      <c r="R20" s="4">
        <v>450</v>
      </c>
      <c r="S20" s="71">
        <v>600</v>
      </c>
    </row>
    <row r="21" spans="1:19">
      <c r="A21" s="5" t="s">
        <v>177</v>
      </c>
      <c r="B21" s="5" t="s">
        <v>175</v>
      </c>
      <c r="C21" s="67">
        <v>1056886</v>
      </c>
      <c r="D21" s="70" t="s">
        <v>183</v>
      </c>
      <c r="E21" s="5" t="s">
        <v>182</v>
      </c>
      <c r="F21" s="5" t="s">
        <v>1148</v>
      </c>
      <c r="G21" s="5" t="s">
        <v>181</v>
      </c>
      <c r="H21" s="17">
        <f t="shared" si="0"/>
        <v>6.2176165803108807E-2</v>
      </c>
      <c r="I21" s="5">
        <f t="shared" si="1"/>
        <v>12</v>
      </c>
      <c r="J21" s="4">
        <v>205</v>
      </c>
      <c r="K21" s="4">
        <v>193</v>
      </c>
      <c r="L21" s="4">
        <v>191</v>
      </c>
      <c r="M21" s="4">
        <v>203</v>
      </c>
      <c r="N21" s="4">
        <v>182</v>
      </c>
      <c r="O21" s="4">
        <v>181</v>
      </c>
      <c r="P21" s="4">
        <v>179</v>
      </c>
      <c r="Q21" s="4">
        <v>120</v>
      </c>
      <c r="R21" s="4">
        <v>135</v>
      </c>
      <c r="S21" s="71">
        <v>133</v>
      </c>
    </row>
    <row r="22" spans="1:19">
      <c r="A22" s="5" t="s">
        <v>177</v>
      </c>
      <c r="B22" s="5" t="s">
        <v>175</v>
      </c>
      <c r="C22" s="67">
        <v>1057066</v>
      </c>
      <c r="D22" s="70" t="s">
        <v>180</v>
      </c>
      <c r="E22" s="5" t="s">
        <v>179</v>
      </c>
      <c r="F22" s="5" t="s">
        <v>1148</v>
      </c>
      <c r="G22" s="5" t="s">
        <v>178</v>
      </c>
      <c r="H22" s="147">
        <f t="shared" si="0"/>
        <v>1.2</v>
      </c>
      <c r="I22" s="173">
        <f t="shared" si="1"/>
        <v>102</v>
      </c>
      <c r="J22" s="4">
        <v>187</v>
      </c>
      <c r="K22" s="4">
        <v>85</v>
      </c>
      <c r="L22" s="4">
        <v>85</v>
      </c>
      <c r="M22" s="4">
        <v>85</v>
      </c>
      <c r="N22" s="4">
        <v>85</v>
      </c>
      <c r="O22" s="4">
        <v>61</v>
      </c>
      <c r="P22" s="4">
        <v>48</v>
      </c>
      <c r="Q22" s="4">
        <v>47</v>
      </c>
      <c r="R22" s="4">
        <v>30</v>
      </c>
      <c r="S22" s="71">
        <v>65</v>
      </c>
    </row>
    <row r="23" spans="1:19">
      <c r="A23" s="5" t="s">
        <v>177</v>
      </c>
      <c r="B23" s="5" t="s">
        <v>175</v>
      </c>
      <c r="C23" s="67">
        <v>1213966</v>
      </c>
      <c r="D23" s="70" t="s">
        <v>176</v>
      </c>
      <c r="E23" s="5" t="s">
        <v>175</v>
      </c>
      <c r="F23" s="5" t="s">
        <v>1147</v>
      </c>
      <c r="G23" s="5" t="s">
        <v>174</v>
      </c>
      <c r="H23" s="149">
        <f t="shared" si="0"/>
        <v>-0.36986301369863012</v>
      </c>
      <c r="I23" s="150">
        <f t="shared" si="1"/>
        <v>-27</v>
      </c>
      <c r="J23" s="54">
        <v>46</v>
      </c>
      <c r="K23" s="54">
        <v>73</v>
      </c>
      <c r="L23" s="54">
        <v>73</v>
      </c>
      <c r="M23" s="54">
        <v>73</v>
      </c>
      <c r="N23" s="54">
        <v>73</v>
      </c>
      <c r="O23" s="54">
        <v>69</v>
      </c>
      <c r="P23" s="54">
        <v>55</v>
      </c>
      <c r="Q23" s="49"/>
      <c r="R23" s="49"/>
      <c r="S23" s="50"/>
    </row>
    <row r="24" spans="1:19" ht="15" thickBot="1">
      <c r="D24" s="72" t="str">
        <f>"Church Count: "&amp;COUNTA(D5:D23)</f>
        <v>Church Count: 19</v>
      </c>
      <c r="E24" s="49"/>
      <c r="F24" s="49"/>
      <c r="G24" s="151" t="s">
        <v>1207</v>
      </c>
      <c r="H24" s="49"/>
      <c r="I24" s="49"/>
      <c r="J24" s="197">
        <f t="shared" ref="J24:S24" si="2">SUM(J5:J23)</f>
        <v>4334</v>
      </c>
      <c r="K24" s="197">
        <f t="shared" si="2"/>
        <v>4161</v>
      </c>
      <c r="L24" s="197">
        <f t="shared" si="2"/>
        <v>4194</v>
      </c>
      <c r="M24" s="197">
        <f t="shared" si="2"/>
        <v>3907</v>
      </c>
      <c r="N24" s="197">
        <f t="shared" si="2"/>
        <v>3658</v>
      </c>
      <c r="O24" s="197">
        <f t="shared" si="2"/>
        <v>3716</v>
      </c>
      <c r="P24" s="197">
        <f t="shared" si="2"/>
        <v>3598</v>
      </c>
      <c r="Q24" s="197">
        <f t="shared" si="2"/>
        <v>3020</v>
      </c>
      <c r="R24" s="197">
        <f t="shared" si="2"/>
        <v>3835</v>
      </c>
      <c r="S24" s="198">
        <f t="shared" si="2"/>
        <v>4044</v>
      </c>
    </row>
    <row r="25" spans="1:19" ht="15" thickTop="1">
      <c r="D25" s="152" t="s">
        <v>1180</v>
      </c>
      <c r="E25" s="49"/>
      <c r="F25" s="49"/>
      <c r="G25" s="151" t="s">
        <v>1208</v>
      </c>
      <c r="H25" s="49"/>
      <c r="I25" s="49"/>
      <c r="J25" s="49">
        <f>J24-K24</f>
        <v>173</v>
      </c>
      <c r="K25" s="49"/>
      <c r="L25" s="49"/>
      <c r="M25" s="49"/>
      <c r="N25" s="49"/>
      <c r="O25" s="49"/>
      <c r="P25" s="49"/>
      <c r="Q25" s="49"/>
      <c r="R25" s="49"/>
      <c r="S25" s="50"/>
    </row>
    <row r="26" spans="1:19">
      <c r="D26" s="153" t="s">
        <v>1181</v>
      </c>
      <c r="E26" s="146"/>
      <c r="F26" s="146"/>
      <c r="G26" s="151" t="s">
        <v>1209</v>
      </c>
      <c r="H26" s="49"/>
      <c r="I26" s="49"/>
      <c r="J26" s="169">
        <f>(J24-K24)/ABS(K24)</f>
        <v>4.1576544099975965E-2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70" t="s">
        <v>1210</v>
      </c>
      <c r="E27" s="49"/>
      <c r="F27" s="49"/>
      <c r="G27" s="218" t="s">
        <v>1219</v>
      </c>
      <c r="H27" s="49"/>
      <c r="I27" s="49"/>
      <c r="J27" s="222">
        <f>J24-S24</f>
        <v>290</v>
      </c>
      <c r="K27" s="49"/>
      <c r="L27" s="49"/>
      <c r="M27" s="49"/>
      <c r="N27" s="49"/>
      <c r="O27" s="49"/>
      <c r="P27" s="49"/>
      <c r="Q27" s="49"/>
      <c r="R27" s="49"/>
      <c r="S27" s="50"/>
    </row>
    <row r="28" spans="1:19">
      <c r="D28" s="154" t="s">
        <v>1182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2"/>
    </row>
  </sheetData>
  <mergeCells count="1">
    <mergeCell ref="D1:S1"/>
  </mergeCells>
  <printOptions horizontalCentered="1"/>
  <pageMargins left="0.7" right="0.7" top="0.75" bottom="0.75" header="0.3" footer="0.3"/>
  <pageSetup scale="69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 enableFormatConditionsCalculation="0">
    <pageSetUpPr fitToPage="1"/>
  </sheetPr>
  <dimension ref="A1:S30"/>
  <sheetViews>
    <sheetView topLeftCell="D1" workbookViewId="0">
      <selection activeCell="J29" sqref="J29"/>
    </sheetView>
  </sheetViews>
  <sheetFormatPr baseColWidth="10" defaultColWidth="8.83203125" defaultRowHeight="14" x14ac:dyDescent="0"/>
  <cols>
    <col min="1" max="1" width="10.1640625" style="3" hidden="1" customWidth="1"/>
    <col min="2" max="2" width="10.33203125" style="3" hidden="1" customWidth="1"/>
    <col min="3" max="3" width="8.1640625" style="3" hidden="1" customWidth="1"/>
    <col min="4" max="4" width="35" style="3" bestFit="1" customWidth="1"/>
    <col min="5" max="5" width="14.83203125" style="3" bestFit="1" customWidth="1"/>
    <col min="6" max="6" width="10" style="3" bestFit="1" customWidth="1"/>
    <col min="7" max="7" width="22.332031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East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Greenville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226</v>
      </c>
      <c r="B5" s="5" t="s">
        <v>225</v>
      </c>
      <c r="C5" s="67">
        <v>1058478</v>
      </c>
      <c r="D5" s="70" t="s">
        <v>75</v>
      </c>
      <c r="E5" s="5" t="s">
        <v>263</v>
      </c>
      <c r="F5" s="5" t="s">
        <v>1147</v>
      </c>
      <c r="G5" s="5" t="s">
        <v>262</v>
      </c>
      <c r="H5" s="149">
        <f>(J5-K5)/ABS(K5)</f>
        <v>-5.5555555555555552E-2</v>
      </c>
      <c r="I5" s="150">
        <f>J5-K5</f>
        <v>-5</v>
      </c>
      <c r="J5" s="4">
        <v>85</v>
      </c>
      <c r="K5" s="4">
        <v>90</v>
      </c>
      <c r="L5" s="4">
        <v>100</v>
      </c>
      <c r="M5" s="4">
        <v>100</v>
      </c>
      <c r="N5" s="4">
        <v>105</v>
      </c>
      <c r="O5" s="4">
        <v>90</v>
      </c>
      <c r="P5" s="4">
        <v>85</v>
      </c>
      <c r="Q5" s="4">
        <v>80</v>
      </c>
      <c r="R5" s="4">
        <v>70</v>
      </c>
      <c r="S5" s="71">
        <v>59</v>
      </c>
    </row>
    <row r="6" spans="1:19">
      <c r="A6" s="5" t="s">
        <v>226</v>
      </c>
      <c r="B6" s="5" t="s">
        <v>225</v>
      </c>
      <c r="C6" s="67">
        <v>1058296</v>
      </c>
      <c r="D6" s="70" t="s">
        <v>25</v>
      </c>
      <c r="E6" s="5" t="s">
        <v>225</v>
      </c>
      <c r="F6" s="5" t="s">
        <v>1148</v>
      </c>
      <c r="G6" s="5" t="s">
        <v>261</v>
      </c>
      <c r="H6" s="17">
        <f t="shared" ref="H6:H25" si="0">(J6-K6)/ABS(K6)</f>
        <v>4.3478260869565216E-2</v>
      </c>
      <c r="I6" s="5">
        <f t="shared" ref="I6:I25" si="1">J6-K6</f>
        <v>5</v>
      </c>
      <c r="J6" s="4">
        <v>120</v>
      </c>
      <c r="K6" s="4">
        <v>115</v>
      </c>
      <c r="L6" s="4">
        <v>109</v>
      </c>
      <c r="M6" s="4">
        <v>111</v>
      </c>
      <c r="N6" s="4">
        <v>105</v>
      </c>
      <c r="O6" s="4">
        <v>109</v>
      </c>
      <c r="P6" s="4">
        <v>97</v>
      </c>
      <c r="Q6" s="4">
        <v>92</v>
      </c>
      <c r="R6" s="4">
        <v>85</v>
      </c>
      <c r="S6" s="71">
        <v>65</v>
      </c>
    </row>
    <row r="7" spans="1:19">
      <c r="A7" s="5" t="s">
        <v>226</v>
      </c>
      <c r="B7" s="5" t="s">
        <v>225</v>
      </c>
      <c r="C7" s="67">
        <v>1058304</v>
      </c>
      <c r="D7" s="70" t="s">
        <v>260</v>
      </c>
      <c r="E7" s="5" t="s">
        <v>234</v>
      </c>
      <c r="F7" s="5" t="s">
        <v>1148</v>
      </c>
      <c r="G7" s="5" t="s">
        <v>259</v>
      </c>
      <c r="H7" s="149">
        <f t="shared" si="0"/>
        <v>-8.1632653061224483E-2</v>
      </c>
      <c r="I7" s="150">
        <f t="shared" si="1"/>
        <v>-4</v>
      </c>
      <c r="J7" s="4">
        <v>45</v>
      </c>
      <c r="K7" s="4">
        <v>49</v>
      </c>
      <c r="L7" s="4">
        <v>45</v>
      </c>
      <c r="M7" s="4">
        <v>45</v>
      </c>
      <c r="N7" s="4">
        <v>45</v>
      </c>
      <c r="O7" s="4">
        <v>48</v>
      </c>
      <c r="P7" s="4">
        <v>47</v>
      </c>
      <c r="Q7" s="4">
        <v>49</v>
      </c>
      <c r="R7" s="4">
        <v>42</v>
      </c>
      <c r="S7" s="71">
        <v>40</v>
      </c>
    </row>
    <row r="8" spans="1:19">
      <c r="A8" s="5" t="s">
        <v>226</v>
      </c>
      <c r="B8" s="5" t="s">
        <v>225</v>
      </c>
      <c r="C8" s="67">
        <v>1058346</v>
      </c>
      <c r="D8" s="70" t="s">
        <v>258</v>
      </c>
      <c r="E8" s="5" t="s">
        <v>255</v>
      </c>
      <c r="F8" s="5" t="s">
        <v>1147</v>
      </c>
      <c r="G8" s="5" t="s">
        <v>257</v>
      </c>
      <c r="H8" s="58">
        <f t="shared" si="0"/>
        <v>0</v>
      </c>
      <c r="I8" s="59">
        <f t="shared" si="1"/>
        <v>0</v>
      </c>
      <c r="J8" s="4">
        <v>25</v>
      </c>
      <c r="K8" s="4">
        <v>25</v>
      </c>
      <c r="L8" s="4">
        <v>21</v>
      </c>
      <c r="M8" s="4">
        <v>15</v>
      </c>
      <c r="N8" s="4">
        <v>15</v>
      </c>
      <c r="O8" s="4">
        <v>15</v>
      </c>
      <c r="P8" s="4">
        <v>15</v>
      </c>
      <c r="Q8" s="4">
        <v>16</v>
      </c>
      <c r="R8" s="4">
        <v>13</v>
      </c>
      <c r="S8" s="71">
        <v>28</v>
      </c>
    </row>
    <row r="9" spans="1:19">
      <c r="A9" s="5" t="s">
        <v>226</v>
      </c>
      <c r="B9" s="5" t="s">
        <v>225</v>
      </c>
      <c r="C9" s="67">
        <v>1058361</v>
      </c>
      <c r="D9" s="70" t="s">
        <v>25</v>
      </c>
      <c r="E9" s="5" t="s">
        <v>256</v>
      </c>
      <c r="F9" s="5" t="s">
        <v>1148</v>
      </c>
      <c r="G9" s="5" t="s">
        <v>3</v>
      </c>
      <c r="H9" s="58">
        <f t="shared" si="0"/>
        <v>0</v>
      </c>
      <c r="I9" s="59">
        <f t="shared" si="1"/>
        <v>0</v>
      </c>
      <c r="J9" s="4">
        <v>25</v>
      </c>
      <c r="K9" s="4">
        <v>25</v>
      </c>
      <c r="L9" s="4">
        <v>29</v>
      </c>
      <c r="M9" s="4">
        <v>30</v>
      </c>
      <c r="N9" s="4">
        <v>35</v>
      </c>
      <c r="O9" s="4">
        <v>44</v>
      </c>
      <c r="P9" s="4">
        <v>44</v>
      </c>
      <c r="Q9" s="4">
        <v>40</v>
      </c>
      <c r="R9" s="4">
        <v>42</v>
      </c>
      <c r="S9" s="71">
        <v>30</v>
      </c>
    </row>
    <row r="10" spans="1:19">
      <c r="A10" s="5" t="s">
        <v>226</v>
      </c>
      <c r="B10" s="5" t="s">
        <v>225</v>
      </c>
      <c r="C10" s="67">
        <v>1058379</v>
      </c>
      <c r="D10" s="70" t="s">
        <v>75</v>
      </c>
      <c r="E10" s="5" t="s">
        <v>255</v>
      </c>
      <c r="F10" s="5" t="s">
        <v>1147</v>
      </c>
      <c r="G10" s="5" t="s">
        <v>254</v>
      </c>
      <c r="H10" s="58">
        <f t="shared" si="0"/>
        <v>0</v>
      </c>
      <c r="I10" s="59">
        <f t="shared" si="1"/>
        <v>0</v>
      </c>
      <c r="J10" s="4">
        <v>55</v>
      </c>
      <c r="K10" s="4">
        <v>55</v>
      </c>
      <c r="L10" s="4">
        <v>55</v>
      </c>
      <c r="M10" s="4">
        <v>55</v>
      </c>
      <c r="N10" s="4">
        <v>55</v>
      </c>
      <c r="O10" s="4">
        <v>55</v>
      </c>
      <c r="P10" s="4">
        <v>55</v>
      </c>
      <c r="Q10" s="4">
        <v>55</v>
      </c>
      <c r="R10" s="4">
        <v>55</v>
      </c>
      <c r="S10" s="71">
        <v>55</v>
      </c>
    </row>
    <row r="11" spans="1:19">
      <c r="A11" s="5" t="s">
        <v>226</v>
      </c>
      <c r="B11" s="5" t="s">
        <v>225</v>
      </c>
      <c r="C11" s="67">
        <v>1058395</v>
      </c>
      <c r="D11" s="70" t="s">
        <v>253</v>
      </c>
      <c r="E11" s="5" t="s">
        <v>234</v>
      </c>
      <c r="F11" s="5" t="s">
        <v>1147</v>
      </c>
      <c r="G11" s="5" t="s">
        <v>252</v>
      </c>
      <c r="H11" s="174">
        <f t="shared" si="0"/>
        <v>0.125</v>
      </c>
      <c r="I11" s="173">
        <f t="shared" si="1"/>
        <v>2</v>
      </c>
      <c r="J11" s="4">
        <v>18</v>
      </c>
      <c r="K11" s="4">
        <v>16</v>
      </c>
      <c r="L11" s="4">
        <v>26</v>
      </c>
      <c r="M11" s="4">
        <v>31</v>
      </c>
      <c r="N11" s="4">
        <v>26</v>
      </c>
      <c r="O11" s="4">
        <v>28</v>
      </c>
      <c r="P11" s="4">
        <v>24</v>
      </c>
      <c r="Q11" s="4">
        <v>40</v>
      </c>
      <c r="R11" s="4">
        <v>44</v>
      </c>
      <c r="S11" s="71">
        <v>39</v>
      </c>
    </row>
    <row r="12" spans="1:19">
      <c r="A12" s="5" t="s">
        <v>226</v>
      </c>
      <c r="B12" s="5" t="s">
        <v>225</v>
      </c>
      <c r="C12" s="67">
        <v>1058403</v>
      </c>
      <c r="D12" s="70" t="s">
        <v>25</v>
      </c>
      <c r="E12" s="5" t="s">
        <v>251</v>
      </c>
      <c r="F12" s="5" t="s">
        <v>1148</v>
      </c>
      <c r="G12" s="5" t="s">
        <v>250</v>
      </c>
      <c r="H12" s="17">
        <f t="shared" si="0"/>
        <v>1.7094017094017096E-2</v>
      </c>
      <c r="I12" s="5">
        <f t="shared" si="1"/>
        <v>2</v>
      </c>
      <c r="J12" s="4">
        <v>119</v>
      </c>
      <c r="K12" s="4">
        <v>117</v>
      </c>
      <c r="L12" s="4">
        <v>109</v>
      </c>
      <c r="M12" s="4">
        <v>104</v>
      </c>
      <c r="N12" s="4">
        <v>98</v>
      </c>
      <c r="O12" s="4">
        <v>107</v>
      </c>
      <c r="P12" s="4">
        <v>104</v>
      </c>
      <c r="Q12" s="4">
        <v>94</v>
      </c>
      <c r="R12" s="4">
        <v>91</v>
      </c>
      <c r="S12" s="71">
        <v>86</v>
      </c>
    </row>
    <row r="13" spans="1:19">
      <c r="A13" s="5" t="s">
        <v>226</v>
      </c>
      <c r="B13" s="5" t="s">
        <v>225</v>
      </c>
      <c r="C13" s="67">
        <v>1058437</v>
      </c>
      <c r="D13" s="70" t="s">
        <v>249</v>
      </c>
      <c r="E13" s="5" t="s">
        <v>223</v>
      </c>
      <c r="F13" s="5" t="s">
        <v>1147</v>
      </c>
      <c r="G13" s="5" t="s">
        <v>248</v>
      </c>
      <c r="H13" s="147">
        <f t="shared" si="0"/>
        <v>0.8</v>
      </c>
      <c r="I13" s="173">
        <f t="shared" si="1"/>
        <v>20</v>
      </c>
      <c r="J13" s="4">
        <v>45</v>
      </c>
      <c r="K13" s="4">
        <v>25</v>
      </c>
      <c r="L13" s="4">
        <v>25</v>
      </c>
      <c r="M13" s="4">
        <v>25</v>
      </c>
      <c r="N13" s="4">
        <v>25</v>
      </c>
      <c r="O13" s="4">
        <v>25</v>
      </c>
      <c r="P13" s="4">
        <v>25</v>
      </c>
      <c r="Q13" s="4">
        <v>25</v>
      </c>
      <c r="R13" s="4">
        <v>45</v>
      </c>
      <c r="S13" s="71">
        <v>19</v>
      </c>
    </row>
    <row r="14" spans="1:19">
      <c r="A14" s="5" t="s">
        <v>226</v>
      </c>
      <c r="B14" s="5" t="s">
        <v>225</v>
      </c>
      <c r="C14" s="67">
        <v>1058288</v>
      </c>
      <c r="D14" s="70" t="s">
        <v>247</v>
      </c>
      <c r="E14" s="5" t="s">
        <v>225</v>
      </c>
      <c r="F14" s="5" t="s">
        <v>1148</v>
      </c>
      <c r="G14" s="5" t="s">
        <v>246</v>
      </c>
      <c r="H14" s="149">
        <f t="shared" si="0"/>
        <v>-0.22857142857142856</v>
      </c>
      <c r="I14" s="150">
        <f t="shared" si="1"/>
        <v>-40</v>
      </c>
      <c r="J14" s="148">
        <v>135</v>
      </c>
      <c r="K14" s="4">
        <v>175</v>
      </c>
      <c r="L14" s="4">
        <v>175</v>
      </c>
      <c r="M14" s="4">
        <v>155</v>
      </c>
      <c r="N14" s="4">
        <v>180</v>
      </c>
      <c r="O14" s="4">
        <v>225</v>
      </c>
      <c r="P14" s="4">
        <v>230</v>
      </c>
      <c r="Q14" s="4">
        <v>240</v>
      </c>
      <c r="R14" s="4">
        <v>265</v>
      </c>
      <c r="S14" s="71">
        <v>310</v>
      </c>
    </row>
    <row r="15" spans="1:19">
      <c r="A15" s="5" t="s">
        <v>226</v>
      </c>
      <c r="B15" s="5" t="s">
        <v>225</v>
      </c>
      <c r="C15" s="67">
        <v>1058460</v>
      </c>
      <c r="D15" s="70" t="s">
        <v>25</v>
      </c>
      <c r="E15" s="5" t="s">
        <v>245</v>
      </c>
      <c r="F15" s="5" t="s">
        <v>1147</v>
      </c>
      <c r="G15" s="5" t="s">
        <v>3</v>
      </c>
      <c r="H15" s="58">
        <f t="shared" si="0"/>
        <v>0</v>
      </c>
      <c r="I15" s="59">
        <f t="shared" si="1"/>
        <v>0</v>
      </c>
      <c r="J15" s="4">
        <v>63</v>
      </c>
      <c r="K15" s="4">
        <v>63</v>
      </c>
      <c r="L15" s="4">
        <v>55</v>
      </c>
      <c r="M15" s="4">
        <v>55</v>
      </c>
      <c r="N15" s="4">
        <v>54</v>
      </c>
      <c r="O15" s="4">
        <v>59</v>
      </c>
      <c r="P15" s="4">
        <v>70</v>
      </c>
      <c r="Q15" s="4">
        <v>90</v>
      </c>
      <c r="R15" s="4">
        <v>85</v>
      </c>
      <c r="S15" s="71">
        <v>102</v>
      </c>
    </row>
    <row r="16" spans="1:19">
      <c r="A16" s="5" t="s">
        <v>226</v>
      </c>
      <c r="B16" s="5" t="s">
        <v>225</v>
      </c>
      <c r="C16" s="67">
        <v>1700384</v>
      </c>
      <c r="D16" s="70" t="s">
        <v>244</v>
      </c>
      <c r="E16" s="5" t="s">
        <v>228</v>
      </c>
      <c r="F16" s="5" t="s">
        <v>1148</v>
      </c>
      <c r="G16" s="5" t="s">
        <v>243</v>
      </c>
      <c r="H16" s="174">
        <f t="shared" si="0"/>
        <v>0.23076923076923078</v>
      </c>
      <c r="I16" s="173">
        <f t="shared" si="1"/>
        <v>6</v>
      </c>
      <c r="J16" s="4">
        <v>32</v>
      </c>
      <c r="K16" s="4">
        <v>26</v>
      </c>
      <c r="L16" s="4">
        <v>0</v>
      </c>
      <c r="M16" s="49"/>
      <c r="N16" s="49"/>
      <c r="O16" s="49"/>
      <c r="P16" s="49"/>
      <c r="Q16" s="49"/>
      <c r="R16" s="49"/>
      <c r="S16" s="50"/>
    </row>
    <row r="17" spans="1:19">
      <c r="A17" s="5" t="s">
        <v>226</v>
      </c>
      <c r="B17" s="5" t="s">
        <v>225</v>
      </c>
      <c r="C17" s="67">
        <v>1058510</v>
      </c>
      <c r="D17" s="70" t="s">
        <v>242</v>
      </c>
      <c r="E17" s="5" t="s">
        <v>228</v>
      </c>
      <c r="F17" s="5" t="s">
        <v>1147</v>
      </c>
      <c r="G17" s="5" t="s">
        <v>241</v>
      </c>
      <c r="H17" s="149">
        <f t="shared" si="0"/>
        <v>-2.6315789473684209E-2</v>
      </c>
      <c r="I17" s="150">
        <f t="shared" si="1"/>
        <v>-1</v>
      </c>
      <c r="J17" s="4">
        <v>37</v>
      </c>
      <c r="K17" s="4">
        <v>38</v>
      </c>
      <c r="L17" s="4">
        <v>39</v>
      </c>
      <c r="M17" s="4">
        <v>34</v>
      </c>
      <c r="N17" s="4">
        <v>26</v>
      </c>
      <c r="O17" s="4">
        <v>26</v>
      </c>
      <c r="P17" s="4">
        <v>25</v>
      </c>
      <c r="Q17" s="4">
        <v>21</v>
      </c>
      <c r="R17" s="4">
        <v>33</v>
      </c>
      <c r="S17" s="71">
        <v>25</v>
      </c>
    </row>
    <row r="18" spans="1:19">
      <c r="A18" s="5" t="s">
        <v>226</v>
      </c>
      <c r="B18" s="5" t="s">
        <v>225</v>
      </c>
      <c r="C18" s="67">
        <v>1058528</v>
      </c>
      <c r="D18" s="70" t="s">
        <v>25</v>
      </c>
      <c r="E18" s="5" t="s">
        <v>228</v>
      </c>
      <c r="F18" s="5" t="s">
        <v>1148</v>
      </c>
      <c r="G18" s="5" t="s">
        <v>240</v>
      </c>
      <c r="H18" s="149">
        <f t="shared" si="0"/>
        <v>-3.0612244897959183E-2</v>
      </c>
      <c r="I18" s="150">
        <f t="shared" si="1"/>
        <v>-3</v>
      </c>
      <c r="J18" s="4">
        <v>95</v>
      </c>
      <c r="K18" s="4">
        <v>98</v>
      </c>
      <c r="L18" s="4">
        <v>100</v>
      </c>
      <c r="M18" s="4">
        <v>80</v>
      </c>
      <c r="N18" s="4">
        <v>100</v>
      </c>
      <c r="O18" s="4">
        <v>100</v>
      </c>
      <c r="P18" s="4">
        <v>100</v>
      </c>
      <c r="Q18" s="4">
        <v>100</v>
      </c>
      <c r="R18" s="4">
        <v>115</v>
      </c>
      <c r="S18" s="71">
        <v>85</v>
      </c>
    </row>
    <row r="19" spans="1:19">
      <c r="A19" s="5" t="s">
        <v>226</v>
      </c>
      <c r="B19" s="5" t="s">
        <v>225</v>
      </c>
      <c r="C19" s="67">
        <v>1058569</v>
      </c>
      <c r="D19" s="70" t="s">
        <v>239</v>
      </c>
      <c r="E19" s="5" t="s">
        <v>237</v>
      </c>
      <c r="F19" s="5" t="s">
        <v>1147</v>
      </c>
      <c r="G19" s="5" t="s">
        <v>238</v>
      </c>
      <c r="H19" s="149">
        <f t="shared" si="0"/>
        <v>-0.1111111111111111</v>
      </c>
      <c r="I19" s="150">
        <f t="shared" si="1"/>
        <v>-2</v>
      </c>
      <c r="J19" s="4">
        <v>16</v>
      </c>
      <c r="K19" s="4">
        <v>18</v>
      </c>
      <c r="L19" s="4">
        <v>18</v>
      </c>
      <c r="M19" s="4">
        <v>17</v>
      </c>
      <c r="N19" s="4">
        <v>35</v>
      </c>
      <c r="O19" s="4">
        <v>35</v>
      </c>
      <c r="P19" s="4">
        <v>35</v>
      </c>
      <c r="Q19" s="4">
        <v>20</v>
      </c>
      <c r="R19" s="4">
        <v>30</v>
      </c>
      <c r="S19" s="71">
        <v>25</v>
      </c>
    </row>
    <row r="20" spans="1:19">
      <c r="A20" s="5" t="s">
        <v>226</v>
      </c>
      <c r="B20" s="5" t="s">
        <v>225</v>
      </c>
      <c r="C20" s="67">
        <v>1058577</v>
      </c>
      <c r="D20" s="70" t="s">
        <v>25</v>
      </c>
      <c r="E20" s="5" t="s">
        <v>237</v>
      </c>
      <c r="F20" s="5" t="s">
        <v>1148</v>
      </c>
      <c r="G20" s="5" t="s">
        <v>236</v>
      </c>
      <c r="H20" s="58">
        <f t="shared" si="0"/>
        <v>0</v>
      </c>
      <c r="I20" s="59">
        <f t="shared" si="1"/>
        <v>0</v>
      </c>
      <c r="J20" s="4">
        <v>90</v>
      </c>
      <c r="K20" s="4">
        <v>90</v>
      </c>
      <c r="L20" s="4">
        <v>95</v>
      </c>
      <c r="M20" s="4">
        <v>85</v>
      </c>
      <c r="N20" s="4">
        <v>75</v>
      </c>
      <c r="O20" s="4">
        <v>55</v>
      </c>
      <c r="P20" s="4">
        <v>47</v>
      </c>
      <c r="Q20" s="4">
        <v>64</v>
      </c>
      <c r="R20" s="4">
        <v>63</v>
      </c>
      <c r="S20" s="71">
        <v>53</v>
      </c>
    </row>
    <row r="21" spans="1:19">
      <c r="A21" s="5" t="s">
        <v>226</v>
      </c>
      <c r="B21" s="5" t="s">
        <v>225</v>
      </c>
      <c r="C21" s="67">
        <v>1058601</v>
      </c>
      <c r="D21" s="70" t="s">
        <v>75</v>
      </c>
      <c r="E21" s="5" t="s">
        <v>235</v>
      </c>
      <c r="F21" s="5" t="s">
        <v>1148</v>
      </c>
      <c r="G21" s="5" t="s">
        <v>3</v>
      </c>
      <c r="H21" s="174">
        <f t="shared" si="0"/>
        <v>0.36666666666666664</v>
      </c>
      <c r="I21" s="173">
        <f t="shared" si="1"/>
        <v>11</v>
      </c>
      <c r="J21" s="4">
        <v>41</v>
      </c>
      <c r="K21" s="4">
        <v>30</v>
      </c>
      <c r="L21" s="4">
        <v>30</v>
      </c>
      <c r="M21" s="4">
        <v>40</v>
      </c>
      <c r="N21" s="4">
        <v>40</v>
      </c>
      <c r="O21" s="4">
        <v>32</v>
      </c>
      <c r="P21" s="4">
        <v>23</v>
      </c>
      <c r="Q21" s="4">
        <v>28</v>
      </c>
      <c r="R21" s="4">
        <v>40</v>
      </c>
      <c r="S21" s="71">
        <v>21</v>
      </c>
    </row>
    <row r="22" spans="1:19">
      <c r="A22" s="5" t="s">
        <v>226</v>
      </c>
      <c r="B22" s="5" t="s">
        <v>225</v>
      </c>
      <c r="C22" s="67">
        <v>1058619</v>
      </c>
      <c r="D22" s="70" t="s">
        <v>25</v>
      </c>
      <c r="E22" s="5" t="s">
        <v>234</v>
      </c>
      <c r="F22" s="5" t="s">
        <v>1148</v>
      </c>
      <c r="G22" s="5" t="s">
        <v>233</v>
      </c>
      <c r="H22" s="149">
        <f t="shared" si="0"/>
        <v>-0.18181818181818182</v>
      </c>
      <c r="I22" s="150">
        <f t="shared" si="1"/>
        <v>-10</v>
      </c>
      <c r="J22" s="4">
        <v>45</v>
      </c>
      <c r="K22" s="4">
        <v>55</v>
      </c>
      <c r="L22" s="4">
        <v>85</v>
      </c>
      <c r="M22" s="4">
        <v>60</v>
      </c>
      <c r="N22" s="4">
        <v>65</v>
      </c>
      <c r="O22" s="4">
        <v>70</v>
      </c>
      <c r="P22" s="4">
        <v>60</v>
      </c>
      <c r="Q22" s="4">
        <v>60</v>
      </c>
      <c r="R22" s="4">
        <v>90</v>
      </c>
      <c r="S22" s="71">
        <v>92</v>
      </c>
    </row>
    <row r="23" spans="1:19">
      <c r="A23" s="5" t="s">
        <v>226</v>
      </c>
      <c r="B23" s="5" t="s">
        <v>225</v>
      </c>
      <c r="C23" s="67">
        <v>1058692</v>
      </c>
      <c r="D23" s="70" t="s">
        <v>232</v>
      </c>
      <c r="E23" s="5" t="s">
        <v>231</v>
      </c>
      <c r="F23" s="5" t="s">
        <v>1148</v>
      </c>
      <c r="G23" s="5" t="s">
        <v>230</v>
      </c>
      <c r="H23" s="17">
        <f t="shared" si="0"/>
        <v>1.7857142857142856E-2</v>
      </c>
      <c r="I23" s="5">
        <f t="shared" si="1"/>
        <v>1</v>
      </c>
      <c r="J23" s="4">
        <v>57</v>
      </c>
      <c r="K23" s="4">
        <v>56</v>
      </c>
      <c r="L23" s="4">
        <v>60</v>
      </c>
      <c r="M23" s="4">
        <v>53</v>
      </c>
      <c r="N23" s="4">
        <v>65</v>
      </c>
      <c r="O23" s="4">
        <v>72</v>
      </c>
      <c r="P23" s="4">
        <v>52</v>
      </c>
      <c r="Q23" s="4">
        <v>60</v>
      </c>
      <c r="R23" s="4">
        <v>84</v>
      </c>
      <c r="S23" s="71">
        <v>72</v>
      </c>
    </row>
    <row r="24" spans="1:19">
      <c r="A24" s="5" t="s">
        <v>226</v>
      </c>
      <c r="B24" s="5" t="s">
        <v>225</v>
      </c>
      <c r="C24" s="67">
        <v>1143668</v>
      </c>
      <c r="D24" s="70" t="s">
        <v>229</v>
      </c>
      <c r="E24" s="5" t="s">
        <v>228</v>
      </c>
      <c r="F24" s="5" t="s">
        <v>1147</v>
      </c>
      <c r="G24" s="5" t="s">
        <v>227</v>
      </c>
      <c r="H24" s="149">
        <f t="shared" si="0"/>
        <v>-1.3157894736842105E-2</v>
      </c>
      <c r="I24" s="150">
        <f t="shared" si="1"/>
        <v>-1</v>
      </c>
      <c r="J24" s="4">
        <v>75</v>
      </c>
      <c r="K24" s="4">
        <v>76</v>
      </c>
      <c r="L24" s="4">
        <v>76</v>
      </c>
      <c r="M24" s="4">
        <v>76</v>
      </c>
      <c r="N24" s="4">
        <v>76</v>
      </c>
      <c r="O24" s="4">
        <v>75</v>
      </c>
      <c r="P24" s="4">
        <v>75</v>
      </c>
      <c r="Q24" s="4">
        <v>75</v>
      </c>
      <c r="R24" s="4">
        <v>70</v>
      </c>
      <c r="S24" s="71">
        <v>71</v>
      </c>
    </row>
    <row r="25" spans="1:19">
      <c r="A25" s="5" t="s">
        <v>226</v>
      </c>
      <c r="B25" s="5" t="s">
        <v>225</v>
      </c>
      <c r="C25" s="67">
        <v>1058445</v>
      </c>
      <c r="D25" s="70" t="s">
        <v>224</v>
      </c>
      <c r="E25" s="5" t="s">
        <v>223</v>
      </c>
      <c r="F25" s="5" t="s">
        <v>1147</v>
      </c>
      <c r="G25" s="5" t="s">
        <v>3</v>
      </c>
      <c r="H25" s="58">
        <f t="shared" si="0"/>
        <v>0</v>
      </c>
      <c r="I25" s="59">
        <f t="shared" si="1"/>
        <v>0</v>
      </c>
      <c r="J25" s="54">
        <v>32</v>
      </c>
      <c r="K25" s="54">
        <v>32</v>
      </c>
      <c r="L25" s="54">
        <v>32</v>
      </c>
      <c r="M25" s="54">
        <v>32</v>
      </c>
      <c r="N25" s="54">
        <v>32</v>
      </c>
      <c r="O25" s="54">
        <v>32</v>
      </c>
      <c r="P25" s="54">
        <v>32</v>
      </c>
      <c r="Q25" s="54">
        <v>32</v>
      </c>
      <c r="R25" s="54">
        <v>32</v>
      </c>
      <c r="S25" s="145">
        <v>19</v>
      </c>
    </row>
    <row r="26" spans="1:19" ht="15" thickBot="1">
      <c r="D26" s="72" t="str">
        <f>"Church Count: "&amp;COUNTA(D5:D25)</f>
        <v>Church Count: 21</v>
      </c>
      <c r="E26" s="49"/>
      <c r="F26" s="49"/>
      <c r="G26" s="151" t="s">
        <v>1207</v>
      </c>
      <c r="H26" s="49"/>
      <c r="I26" s="49"/>
      <c r="J26" s="197">
        <f t="shared" ref="J26:S26" si="2">SUM(J5:J25)</f>
        <v>1255</v>
      </c>
      <c r="K26" s="197">
        <f t="shared" si="2"/>
        <v>1274</v>
      </c>
      <c r="L26" s="197">
        <f t="shared" si="2"/>
        <v>1284</v>
      </c>
      <c r="M26" s="197">
        <f t="shared" si="2"/>
        <v>1203</v>
      </c>
      <c r="N26" s="197">
        <f t="shared" si="2"/>
        <v>1257</v>
      </c>
      <c r="O26" s="197">
        <f t="shared" si="2"/>
        <v>1302</v>
      </c>
      <c r="P26" s="197">
        <f t="shared" si="2"/>
        <v>1245</v>
      </c>
      <c r="Q26" s="197">
        <f t="shared" si="2"/>
        <v>1281</v>
      </c>
      <c r="R26" s="197">
        <f t="shared" si="2"/>
        <v>1394</v>
      </c>
      <c r="S26" s="198">
        <f t="shared" si="2"/>
        <v>1296</v>
      </c>
    </row>
    <row r="27" spans="1:19" ht="15" thickTop="1">
      <c r="D27" s="152" t="s">
        <v>1180</v>
      </c>
      <c r="E27" s="49"/>
      <c r="F27" s="49"/>
      <c r="G27" s="151" t="s">
        <v>1208</v>
      </c>
      <c r="H27" s="49"/>
      <c r="I27" s="49"/>
      <c r="J27" s="205">
        <f>J26-K26</f>
        <v>-19</v>
      </c>
      <c r="K27" s="49"/>
      <c r="L27" s="49"/>
      <c r="M27" s="49"/>
      <c r="N27" s="49"/>
      <c r="O27" s="49"/>
      <c r="P27" s="49"/>
      <c r="Q27" s="49"/>
      <c r="R27" s="49"/>
      <c r="S27" s="50"/>
    </row>
    <row r="28" spans="1:19">
      <c r="D28" s="153" t="s">
        <v>1181</v>
      </c>
      <c r="E28" s="146"/>
      <c r="F28" s="146"/>
      <c r="G28" s="151" t="s">
        <v>1209</v>
      </c>
      <c r="H28" s="49"/>
      <c r="I28" s="49"/>
      <c r="J28" s="206">
        <f>(J26-K26)/ABS(K26)</f>
        <v>-1.4913657770800628E-2</v>
      </c>
      <c r="K28" s="49"/>
      <c r="L28" s="49"/>
      <c r="M28" s="49"/>
      <c r="N28" s="49"/>
      <c r="O28" s="49"/>
      <c r="P28" s="49"/>
      <c r="Q28" s="49"/>
      <c r="R28" s="49"/>
      <c r="S28" s="50"/>
    </row>
    <row r="29" spans="1:19">
      <c r="D29" s="170" t="s">
        <v>1210</v>
      </c>
      <c r="E29" s="49"/>
      <c r="F29" s="49"/>
      <c r="G29" s="218" t="s">
        <v>1219</v>
      </c>
      <c r="H29" s="49"/>
      <c r="I29" s="49"/>
      <c r="J29" s="221">
        <f>J26-S26</f>
        <v>-41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54" t="s">
        <v>1182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2"/>
    </row>
  </sheetData>
  <mergeCells count="1">
    <mergeCell ref="D1:S1"/>
  </mergeCells>
  <printOptions horizontalCentered="1"/>
  <pageMargins left="0.7" right="0.7" top="0.75" bottom="0.75" header="0.3" footer="0.3"/>
  <pageSetup scale="73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enableFormatConditionsCalculation="0">
    <pageSetUpPr fitToPage="1"/>
  </sheetPr>
  <dimension ref="A1:S36"/>
  <sheetViews>
    <sheetView topLeftCell="D12" workbookViewId="0">
      <selection activeCell="J35" sqref="J35"/>
    </sheetView>
  </sheetViews>
  <sheetFormatPr baseColWidth="10" defaultColWidth="8.83203125" defaultRowHeight="14" x14ac:dyDescent="0"/>
  <cols>
    <col min="1" max="1" width="10.1640625" style="3" hidden="1" customWidth="1"/>
    <col min="2" max="2" width="9.5" style="3" hidden="1" customWidth="1"/>
    <col min="3" max="3" width="8.1640625" style="3" hidden="1" customWidth="1"/>
    <col min="4" max="4" width="40.6640625" style="3" customWidth="1"/>
    <col min="5" max="5" width="11.33203125" style="3" bestFit="1" customWidth="1"/>
    <col min="6" max="6" width="10" style="3" bestFit="1" customWidth="1"/>
    <col min="7" max="7" width="22.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East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Longview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226</v>
      </c>
      <c r="B5" s="5" t="s">
        <v>266</v>
      </c>
      <c r="C5" s="67">
        <v>1059138</v>
      </c>
      <c r="D5" s="70" t="s">
        <v>25</v>
      </c>
      <c r="E5" s="5" t="s">
        <v>317</v>
      </c>
      <c r="F5" s="5" t="s">
        <v>1148</v>
      </c>
      <c r="G5" s="5" t="s">
        <v>316</v>
      </c>
      <c r="H5" s="58">
        <f>(J5-K5)/ABS(K5)</f>
        <v>0</v>
      </c>
      <c r="I5" s="59">
        <f>J5-K5</f>
        <v>0</v>
      </c>
      <c r="J5" s="4">
        <v>35</v>
      </c>
      <c r="K5" s="4">
        <v>35</v>
      </c>
      <c r="L5" s="4">
        <v>15</v>
      </c>
      <c r="M5" s="4">
        <v>15</v>
      </c>
      <c r="N5" s="4">
        <v>15</v>
      </c>
      <c r="O5" s="4">
        <v>20</v>
      </c>
      <c r="P5" s="4">
        <v>20</v>
      </c>
      <c r="Q5" s="4">
        <v>19</v>
      </c>
      <c r="R5" s="4">
        <v>19</v>
      </c>
      <c r="S5" s="71">
        <v>17</v>
      </c>
    </row>
    <row r="6" spans="1:19">
      <c r="A6" s="5" t="s">
        <v>226</v>
      </c>
      <c r="B6" s="5" t="s">
        <v>266</v>
      </c>
      <c r="C6" s="67">
        <v>1058890</v>
      </c>
      <c r="D6" s="70" t="s">
        <v>204</v>
      </c>
      <c r="E6" s="5" t="s">
        <v>266</v>
      </c>
      <c r="F6" s="5" t="s">
        <v>1148</v>
      </c>
      <c r="G6" s="5" t="s">
        <v>315</v>
      </c>
      <c r="H6" s="149">
        <f t="shared" ref="H6:H31" si="0">(J6-K6)/ABS(K6)</f>
        <v>-3.7037037037037035E-2</v>
      </c>
      <c r="I6" s="150">
        <f t="shared" ref="I6:I31" si="1">J6-K6</f>
        <v>-2</v>
      </c>
      <c r="J6" s="4">
        <v>52</v>
      </c>
      <c r="K6" s="4">
        <v>54</v>
      </c>
      <c r="L6" s="4">
        <v>160</v>
      </c>
      <c r="M6" s="4">
        <v>50</v>
      </c>
      <c r="N6" s="4">
        <v>42</v>
      </c>
      <c r="O6" s="4">
        <v>35</v>
      </c>
      <c r="P6" s="4">
        <v>35</v>
      </c>
      <c r="Q6" s="4">
        <v>42</v>
      </c>
      <c r="R6" s="4">
        <v>48</v>
      </c>
      <c r="S6" s="71">
        <v>44</v>
      </c>
    </row>
    <row r="7" spans="1:19">
      <c r="A7" s="5" t="s">
        <v>226</v>
      </c>
      <c r="B7" s="5" t="s">
        <v>266</v>
      </c>
      <c r="C7" s="67">
        <v>1058924</v>
      </c>
      <c r="D7" s="70" t="s">
        <v>314</v>
      </c>
      <c r="E7" s="5" t="s">
        <v>276</v>
      </c>
      <c r="F7" s="5" t="s">
        <v>1147</v>
      </c>
      <c r="G7" s="5" t="s">
        <v>313</v>
      </c>
      <c r="H7" s="17" t="s">
        <v>1154</v>
      </c>
      <c r="I7" s="5">
        <f t="shared" si="1"/>
        <v>40</v>
      </c>
      <c r="J7" s="4">
        <v>40</v>
      </c>
      <c r="K7" s="4">
        <v>0</v>
      </c>
      <c r="L7" s="4">
        <v>0</v>
      </c>
      <c r="M7" s="4">
        <v>13</v>
      </c>
      <c r="N7" s="4">
        <v>16</v>
      </c>
      <c r="O7" s="4">
        <v>24</v>
      </c>
      <c r="P7" s="4">
        <v>40</v>
      </c>
      <c r="Q7" s="4">
        <v>40</v>
      </c>
      <c r="R7" s="4">
        <v>35</v>
      </c>
      <c r="S7" s="71">
        <v>35</v>
      </c>
    </row>
    <row r="8" spans="1:19">
      <c r="A8" s="5" t="s">
        <v>226</v>
      </c>
      <c r="B8" s="5" t="s">
        <v>266</v>
      </c>
      <c r="C8" s="67">
        <v>1058957</v>
      </c>
      <c r="D8" s="70" t="s">
        <v>312</v>
      </c>
      <c r="E8" s="5" t="s">
        <v>311</v>
      </c>
      <c r="F8" s="5" t="s">
        <v>1147</v>
      </c>
      <c r="G8" s="5" t="s">
        <v>3</v>
      </c>
      <c r="H8" s="58">
        <f t="shared" si="0"/>
        <v>0</v>
      </c>
      <c r="I8" s="59">
        <f t="shared" si="1"/>
        <v>0</v>
      </c>
      <c r="J8" s="4">
        <v>12</v>
      </c>
      <c r="K8" s="4">
        <v>12</v>
      </c>
      <c r="L8" s="4">
        <v>24</v>
      </c>
      <c r="M8" s="4">
        <v>24</v>
      </c>
      <c r="N8" s="4">
        <v>24</v>
      </c>
      <c r="O8" s="4">
        <v>24</v>
      </c>
      <c r="P8" s="4">
        <v>22</v>
      </c>
      <c r="Q8" s="4">
        <v>19</v>
      </c>
      <c r="R8" s="4">
        <v>23</v>
      </c>
      <c r="S8" s="71">
        <v>23</v>
      </c>
    </row>
    <row r="9" spans="1:19">
      <c r="A9" s="5" t="s">
        <v>226</v>
      </c>
      <c r="B9" s="5" t="s">
        <v>266</v>
      </c>
      <c r="C9" s="67">
        <v>1058965</v>
      </c>
      <c r="D9" s="70" t="s">
        <v>25</v>
      </c>
      <c r="E9" s="5" t="s">
        <v>311</v>
      </c>
      <c r="F9" s="5" t="s">
        <v>1148</v>
      </c>
      <c r="G9" s="5" t="s">
        <v>310</v>
      </c>
      <c r="H9" s="58">
        <f t="shared" si="0"/>
        <v>0</v>
      </c>
      <c r="I9" s="59">
        <f t="shared" si="1"/>
        <v>0</v>
      </c>
      <c r="J9" s="4">
        <v>80</v>
      </c>
      <c r="K9" s="4">
        <v>80</v>
      </c>
      <c r="L9" s="4">
        <v>80</v>
      </c>
      <c r="M9" s="4">
        <v>80</v>
      </c>
      <c r="N9" s="4">
        <v>80</v>
      </c>
      <c r="O9" s="4">
        <v>100</v>
      </c>
      <c r="P9" s="4">
        <v>100</v>
      </c>
      <c r="Q9" s="4">
        <v>125</v>
      </c>
      <c r="R9" s="4">
        <v>125</v>
      </c>
      <c r="S9" s="71">
        <v>125</v>
      </c>
    </row>
    <row r="10" spans="1:19">
      <c r="A10" s="5" t="s">
        <v>226</v>
      </c>
      <c r="B10" s="5" t="s">
        <v>266</v>
      </c>
      <c r="C10" s="67">
        <v>1058981</v>
      </c>
      <c r="D10" s="70" t="s">
        <v>25</v>
      </c>
      <c r="E10" s="5" t="s">
        <v>295</v>
      </c>
      <c r="F10" s="5" t="s">
        <v>1148</v>
      </c>
      <c r="G10" s="5" t="s">
        <v>309</v>
      </c>
      <c r="H10" s="149">
        <f t="shared" si="0"/>
        <v>-0.13861386138613863</v>
      </c>
      <c r="I10" s="150">
        <f t="shared" si="1"/>
        <v>-14</v>
      </c>
      <c r="J10" s="4">
        <v>87</v>
      </c>
      <c r="K10" s="4">
        <v>101</v>
      </c>
      <c r="L10" s="4">
        <v>110</v>
      </c>
      <c r="M10" s="4">
        <v>107</v>
      </c>
      <c r="N10" s="4">
        <v>102</v>
      </c>
      <c r="O10" s="4">
        <v>105</v>
      </c>
      <c r="P10" s="4">
        <v>109</v>
      </c>
      <c r="Q10" s="4">
        <v>114</v>
      </c>
      <c r="R10" s="4">
        <v>99</v>
      </c>
      <c r="S10" s="71">
        <v>91</v>
      </c>
    </row>
    <row r="11" spans="1:19">
      <c r="A11" s="5" t="s">
        <v>226</v>
      </c>
      <c r="B11" s="5" t="s">
        <v>266</v>
      </c>
      <c r="C11" s="67">
        <v>1058999</v>
      </c>
      <c r="D11" s="70" t="s">
        <v>25</v>
      </c>
      <c r="E11" s="5" t="s">
        <v>308</v>
      </c>
      <c r="F11" s="5" t="s">
        <v>1147</v>
      </c>
      <c r="G11" s="5" t="s">
        <v>307</v>
      </c>
      <c r="H11" s="149">
        <f t="shared" si="0"/>
        <v>-0.13333333333333333</v>
      </c>
      <c r="I11" s="150">
        <f t="shared" si="1"/>
        <v>-4</v>
      </c>
      <c r="J11" s="4">
        <v>26</v>
      </c>
      <c r="K11" s="4">
        <v>30</v>
      </c>
      <c r="L11" s="4">
        <v>50</v>
      </c>
      <c r="M11" s="4">
        <v>43</v>
      </c>
      <c r="N11" s="4">
        <v>45</v>
      </c>
      <c r="O11" s="4">
        <v>45</v>
      </c>
      <c r="P11" s="4">
        <v>50</v>
      </c>
      <c r="Q11" s="4">
        <v>45</v>
      </c>
      <c r="R11" s="4">
        <v>25</v>
      </c>
      <c r="S11" s="71">
        <v>40</v>
      </c>
    </row>
    <row r="12" spans="1:19">
      <c r="A12" s="5" t="s">
        <v>226</v>
      </c>
      <c r="B12" s="5" t="s">
        <v>266</v>
      </c>
      <c r="C12" s="67">
        <v>1059021</v>
      </c>
      <c r="D12" s="70" t="s">
        <v>25</v>
      </c>
      <c r="E12" s="5" t="s">
        <v>289</v>
      </c>
      <c r="F12" s="5" t="s">
        <v>1148</v>
      </c>
      <c r="G12" s="5" t="s">
        <v>306</v>
      </c>
      <c r="H12" s="17">
        <f t="shared" si="0"/>
        <v>7.1428571428571425E-2</v>
      </c>
      <c r="I12" s="5">
        <f t="shared" si="1"/>
        <v>2</v>
      </c>
      <c r="J12" s="4">
        <v>30</v>
      </c>
      <c r="K12" s="4">
        <v>28</v>
      </c>
      <c r="L12" s="4">
        <v>22</v>
      </c>
      <c r="M12" s="4">
        <v>23</v>
      </c>
      <c r="N12" s="4">
        <v>23</v>
      </c>
      <c r="O12" s="4">
        <v>25</v>
      </c>
      <c r="P12" s="4">
        <v>30</v>
      </c>
      <c r="Q12" s="4">
        <v>30</v>
      </c>
      <c r="R12" s="4">
        <v>34</v>
      </c>
      <c r="S12" s="71">
        <v>39</v>
      </c>
    </row>
    <row r="13" spans="1:19">
      <c r="A13" s="5" t="s">
        <v>226</v>
      </c>
      <c r="B13" s="5" t="s">
        <v>266</v>
      </c>
      <c r="C13" s="67">
        <v>1059039</v>
      </c>
      <c r="D13" s="70" t="s">
        <v>305</v>
      </c>
      <c r="E13" s="5" t="s">
        <v>289</v>
      </c>
      <c r="F13" s="5" t="s">
        <v>1148</v>
      </c>
      <c r="G13" s="5" t="s">
        <v>304</v>
      </c>
      <c r="H13" s="149">
        <f t="shared" si="0"/>
        <v>-0.4</v>
      </c>
      <c r="I13" s="150">
        <f t="shared" si="1"/>
        <v>-20</v>
      </c>
      <c r="J13" s="4">
        <v>30</v>
      </c>
      <c r="K13" s="4">
        <v>50</v>
      </c>
      <c r="L13" s="4">
        <v>50</v>
      </c>
      <c r="M13" s="4">
        <v>135</v>
      </c>
      <c r="N13" s="4">
        <v>135</v>
      </c>
      <c r="O13" s="4">
        <v>90</v>
      </c>
      <c r="P13" s="4">
        <v>94</v>
      </c>
      <c r="Q13" s="4">
        <v>88</v>
      </c>
      <c r="R13" s="4">
        <v>81</v>
      </c>
      <c r="S13" s="71">
        <v>64</v>
      </c>
    </row>
    <row r="14" spans="1:19">
      <c r="A14" s="5" t="s">
        <v>226</v>
      </c>
      <c r="B14" s="5" t="s">
        <v>266</v>
      </c>
      <c r="C14" s="67">
        <v>1059054</v>
      </c>
      <c r="D14" s="70" t="s">
        <v>303</v>
      </c>
      <c r="E14" s="5" t="s">
        <v>268</v>
      </c>
      <c r="F14" s="5" t="s">
        <v>1148</v>
      </c>
      <c r="G14" s="5" t="s">
        <v>302</v>
      </c>
      <c r="H14" s="17">
        <f t="shared" si="0"/>
        <v>9.4736842105263161E-2</v>
      </c>
      <c r="I14" s="5">
        <f t="shared" si="1"/>
        <v>9</v>
      </c>
      <c r="J14" s="4">
        <v>104</v>
      </c>
      <c r="K14" s="4">
        <v>95</v>
      </c>
      <c r="L14" s="4">
        <v>115</v>
      </c>
      <c r="M14" s="4">
        <v>120</v>
      </c>
      <c r="N14" s="4">
        <v>105</v>
      </c>
      <c r="O14" s="4">
        <v>95</v>
      </c>
      <c r="P14" s="4">
        <v>85</v>
      </c>
      <c r="Q14" s="4">
        <v>75</v>
      </c>
      <c r="R14" s="4">
        <v>78</v>
      </c>
      <c r="S14" s="71">
        <v>75</v>
      </c>
    </row>
    <row r="15" spans="1:19">
      <c r="A15" s="5" t="s">
        <v>226</v>
      </c>
      <c r="B15" s="5" t="s">
        <v>266</v>
      </c>
      <c r="C15" s="67">
        <v>1059062</v>
      </c>
      <c r="D15" s="70" t="s">
        <v>301</v>
      </c>
      <c r="E15" s="5" t="s">
        <v>268</v>
      </c>
      <c r="F15" s="5" t="s">
        <v>1147</v>
      </c>
      <c r="G15" s="5" t="s">
        <v>300</v>
      </c>
      <c r="H15" s="58">
        <f t="shared" si="0"/>
        <v>0</v>
      </c>
      <c r="I15" s="59">
        <f t="shared" si="1"/>
        <v>0</v>
      </c>
      <c r="J15" s="4">
        <v>30</v>
      </c>
      <c r="K15" s="4">
        <v>30</v>
      </c>
      <c r="L15" s="4">
        <v>20</v>
      </c>
      <c r="M15" s="4">
        <v>18</v>
      </c>
      <c r="N15" s="4">
        <v>22</v>
      </c>
      <c r="O15" s="4">
        <v>20</v>
      </c>
      <c r="P15" s="4">
        <v>21</v>
      </c>
      <c r="Q15" s="4">
        <v>22</v>
      </c>
      <c r="R15" s="4">
        <v>22</v>
      </c>
      <c r="S15" s="71">
        <v>21</v>
      </c>
    </row>
    <row r="16" spans="1:19">
      <c r="A16" s="5" t="s">
        <v>226</v>
      </c>
      <c r="B16" s="5" t="s">
        <v>266</v>
      </c>
      <c r="C16" s="67">
        <v>1059088</v>
      </c>
      <c r="D16" s="70" t="s">
        <v>45</v>
      </c>
      <c r="E16" s="5" t="s">
        <v>265</v>
      </c>
      <c r="F16" s="5" t="s">
        <v>1147</v>
      </c>
      <c r="G16" s="5" t="s">
        <v>299</v>
      </c>
      <c r="H16" s="174">
        <f t="shared" si="0"/>
        <v>0.15</v>
      </c>
      <c r="I16" s="173">
        <f t="shared" si="1"/>
        <v>3</v>
      </c>
      <c r="J16" s="4">
        <v>23</v>
      </c>
      <c r="K16" s="4">
        <v>20</v>
      </c>
      <c r="L16" s="4">
        <v>15</v>
      </c>
      <c r="M16" s="4">
        <v>15</v>
      </c>
      <c r="N16" s="4">
        <v>25</v>
      </c>
      <c r="O16" s="4">
        <v>25</v>
      </c>
      <c r="P16" s="4">
        <v>24</v>
      </c>
      <c r="Q16" s="4">
        <v>25</v>
      </c>
      <c r="R16" s="4">
        <v>25</v>
      </c>
      <c r="S16" s="71">
        <v>32</v>
      </c>
    </row>
    <row r="17" spans="1:19">
      <c r="A17" s="5" t="s">
        <v>226</v>
      </c>
      <c r="B17" s="5" t="s">
        <v>266</v>
      </c>
      <c r="C17" s="67">
        <v>1058882</v>
      </c>
      <c r="D17" s="70" t="s">
        <v>25</v>
      </c>
      <c r="E17" s="5" t="s">
        <v>266</v>
      </c>
      <c r="F17" s="5" t="s">
        <v>1148</v>
      </c>
      <c r="G17" s="5" t="s">
        <v>298</v>
      </c>
      <c r="H17" s="149">
        <f t="shared" si="0"/>
        <v>-9.8360655737704927E-3</v>
      </c>
      <c r="I17" s="150">
        <f t="shared" si="1"/>
        <v>-3</v>
      </c>
      <c r="J17" s="148">
        <v>302</v>
      </c>
      <c r="K17" s="4">
        <v>305</v>
      </c>
      <c r="L17" s="4">
        <v>273</v>
      </c>
      <c r="M17" s="4">
        <v>270</v>
      </c>
      <c r="N17" s="4">
        <v>209</v>
      </c>
      <c r="O17" s="4">
        <v>392</v>
      </c>
      <c r="P17" s="4">
        <v>406</v>
      </c>
      <c r="Q17" s="4">
        <v>374</v>
      </c>
      <c r="R17" s="4">
        <v>359</v>
      </c>
      <c r="S17" s="71">
        <v>379</v>
      </c>
    </row>
    <row r="18" spans="1:19">
      <c r="A18" s="5" t="s">
        <v>226</v>
      </c>
      <c r="B18" s="5" t="s">
        <v>266</v>
      </c>
      <c r="C18" s="67">
        <v>1059104</v>
      </c>
      <c r="D18" s="70" t="s">
        <v>25</v>
      </c>
      <c r="E18" s="5" t="s">
        <v>297</v>
      </c>
      <c r="F18" s="5" t="s">
        <v>1148</v>
      </c>
      <c r="G18" s="5" t="s">
        <v>3</v>
      </c>
      <c r="H18" s="174">
        <f t="shared" si="0"/>
        <v>0.2</v>
      </c>
      <c r="I18" s="173">
        <f t="shared" si="1"/>
        <v>10</v>
      </c>
      <c r="J18" s="4">
        <v>60</v>
      </c>
      <c r="K18" s="4">
        <v>50</v>
      </c>
      <c r="L18" s="4">
        <v>50</v>
      </c>
      <c r="M18" s="4">
        <v>50</v>
      </c>
      <c r="N18" s="4">
        <v>75</v>
      </c>
      <c r="O18" s="4">
        <v>75</v>
      </c>
      <c r="P18" s="4">
        <v>100</v>
      </c>
      <c r="Q18" s="4">
        <v>100</v>
      </c>
      <c r="R18" s="4">
        <v>100</v>
      </c>
      <c r="S18" s="71">
        <v>100</v>
      </c>
    </row>
    <row r="19" spans="1:19">
      <c r="A19" s="5" t="s">
        <v>226</v>
      </c>
      <c r="B19" s="5" t="s">
        <v>266</v>
      </c>
      <c r="C19" s="67">
        <v>1013465</v>
      </c>
      <c r="D19" s="70" t="s">
        <v>296</v>
      </c>
      <c r="E19" s="5" t="s">
        <v>295</v>
      </c>
      <c r="F19" s="5" t="s">
        <v>1148</v>
      </c>
      <c r="G19" s="5" t="s">
        <v>294</v>
      </c>
      <c r="H19" s="58">
        <f t="shared" si="0"/>
        <v>0</v>
      </c>
      <c r="I19" s="59">
        <f t="shared" si="1"/>
        <v>0</v>
      </c>
      <c r="J19" s="4">
        <v>42</v>
      </c>
      <c r="K19" s="4">
        <v>42</v>
      </c>
      <c r="L19" s="4">
        <v>47</v>
      </c>
      <c r="M19" s="4">
        <v>39</v>
      </c>
      <c r="N19" s="4">
        <v>48</v>
      </c>
      <c r="O19" s="4">
        <v>47</v>
      </c>
      <c r="P19" s="4">
        <v>40</v>
      </c>
      <c r="Q19" s="4">
        <v>38</v>
      </c>
      <c r="R19" s="4">
        <v>42</v>
      </c>
      <c r="S19" s="71">
        <v>32</v>
      </c>
    </row>
    <row r="20" spans="1:19">
      <c r="A20" s="5" t="s">
        <v>226</v>
      </c>
      <c r="B20" s="5" t="s">
        <v>266</v>
      </c>
      <c r="C20" s="67">
        <v>1087022</v>
      </c>
      <c r="D20" s="70" t="s">
        <v>293</v>
      </c>
      <c r="E20" s="5" t="s">
        <v>292</v>
      </c>
      <c r="F20" s="5" t="s">
        <v>1147</v>
      </c>
      <c r="G20" s="5" t="s">
        <v>291</v>
      </c>
      <c r="H20" s="149">
        <f t="shared" si="0"/>
        <v>-7.8947368421052627E-2</v>
      </c>
      <c r="I20" s="150">
        <f t="shared" si="1"/>
        <v>-3</v>
      </c>
      <c r="J20" s="4">
        <v>35</v>
      </c>
      <c r="K20" s="4">
        <v>38</v>
      </c>
      <c r="L20" s="4">
        <v>55</v>
      </c>
      <c r="M20" s="4">
        <v>45</v>
      </c>
      <c r="N20" s="4">
        <v>32</v>
      </c>
      <c r="O20" s="4">
        <v>32</v>
      </c>
      <c r="P20" s="4">
        <v>30</v>
      </c>
      <c r="Q20" s="4">
        <v>30</v>
      </c>
      <c r="R20" s="4">
        <v>20</v>
      </c>
      <c r="S20" s="71">
        <v>20</v>
      </c>
    </row>
    <row r="21" spans="1:19">
      <c r="A21" s="5" t="s">
        <v>226</v>
      </c>
      <c r="B21" s="5" t="s">
        <v>266</v>
      </c>
      <c r="C21" s="67">
        <v>1091909</v>
      </c>
      <c r="D21" s="70" t="s">
        <v>290</v>
      </c>
      <c r="E21" s="5" t="s">
        <v>289</v>
      </c>
      <c r="F21" s="5" t="s">
        <v>1147</v>
      </c>
      <c r="G21" s="5" t="s">
        <v>288</v>
      </c>
      <c r="H21" s="17">
        <f t="shared" si="0"/>
        <v>4.5454545454545456E-2</v>
      </c>
      <c r="I21" s="5">
        <f t="shared" si="1"/>
        <v>1</v>
      </c>
      <c r="J21" s="4">
        <v>23</v>
      </c>
      <c r="K21" s="4">
        <v>22</v>
      </c>
      <c r="L21" s="4">
        <v>25</v>
      </c>
      <c r="M21" s="4">
        <v>20</v>
      </c>
      <c r="N21" s="4">
        <v>20</v>
      </c>
      <c r="O21" s="4">
        <v>25</v>
      </c>
      <c r="P21" s="4">
        <v>30</v>
      </c>
      <c r="Q21" s="4">
        <v>35</v>
      </c>
      <c r="R21" s="4">
        <v>35</v>
      </c>
      <c r="S21" s="71">
        <v>44</v>
      </c>
    </row>
    <row r="22" spans="1:19">
      <c r="A22" s="5" t="s">
        <v>226</v>
      </c>
      <c r="B22" s="5" t="s">
        <v>266</v>
      </c>
      <c r="C22" s="67">
        <v>1096189</v>
      </c>
      <c r="D22" s="70" t="s">
        <v>287</v>
      </c>
      <c r="E22" s="5" t="s">
        <v>268</v>
      </c>
      <c r="F22" s="5" t="s">
        <v>1148</v>
      </c>
      <c r="G22" s="5" t="s">
        <v>286</v>
      </c>
      <c r="H22" s="174">
        <f t="shared" si="0"/>
        <v>0.1388888888888889</v>
      </c>
      <c r="I22" s="173">
        <f t="shared" si="1"/>
        <v>25</v>
      </c>
      <c r="J22" s="4">
        <v>205</v>
      </c>
      <c r="K22" s="4">
        <v>180</v>
      </c>
      <c r="L22" s="4">
        <v>205</v>
      </c>
      <c r="M22" s="4">
        <v>205</v>
      </c>
      <c r="N22" s="4">
        <v>205</v>
      </c>
      <c r="O22" s="4">
        <v>175</v>
      </c>
      <c r="P22" s="4">
        <v>180</v>
      </c>
      <c r="Q22" s="4">
        <v>178</v>
      </c>
      <c r="R22" s="4">
        <v>175</v>
      </c>
      <c r="S22" s="71">
        <v>197</v>
      </c>
    </row>
    <row r="23" spans="1:19">
      <c r="A23" s="5" t="s">
        <v>226</v>
      </c>
      <c r="B23" s="5" t="s">
        <v>266</v>
      </c>
      <c r="C23" s="67">
        <v>1096296</v>
      </c>
      <c r="D23" s="70" t="s">
        <v>285</v>
      </c>
      <c r="E23" s="5" t="s">
        <v>284</v>
      </c>
      <c r="F23" s="5" t="s">
        <v>1147</v>
      </c>
      <c r="G23" s="5" t="s">
        <v>283</v>
      </c>
      <c r="H23" s="149">
        <f t="shared" si="0"/>
        <v>-0.4</v>
      </c>
      <c r="I23" s="150">
        <f t="shared" si="1"/>
        <v>-10</v>
      </c>
      <c r="J23" s="4">
        <v>15</v>
      </c>
      <c r="K23" s="4">
        <v>25</v>
      </c>
      <c r="L23" s="4">
        <v>22</v>
      </c>
      <c r="M23" s="4">
        <v>22</v>
      </c>
      <c r="N23" s="4">
        <v>22</v>
      </c>
      <c r="O23" s="4">
        <v>22</v>
      </c>
      <c r="P23" s="4">
        <v>13</v>
      </c>
      <c r="Q23" s="4">
        <v>20</v>
      </c>
      <c r="R23" s="4">
        <v>35</v>
      </c>
      <c r="S23" s="71">
        <v>60</v>
      </c>
    </row>
    <row r="24" spans="1:19">
      <c r="A24" s="5" t="s">
        <v>226</v>
      </c>
      <c r="B24" s="5" t="s">
        <v>266</v>
      </c>
      <c r="C24" s="67">
        <v>1104181</v>
      </c>
      <c r="D24" s="70" t="s">
        <v>282</v>
      </c>
      <c r="E24" s="5" t="s">
        <v>281</v>
      </c>
      <c r="F24" s="5" t="s">
        <v>1148</v>
      </c>
      <c r="G24" s="5" t="s">
        <v>280</v>
      </c>
      <c r="H24" s="58">
        <f t="shared" si="0"/>
        <v>0</v>
      </c>
      <c r="I24" s="59">
        <f t="shared" si="1"/>
        <v>0</v>
      </c>
      <c r="J24" s="4">
        <v>25</v>
      </c>
      <c r="K24" s="4">
        <v>25</v>
      </c>
      <c r="L24" s="4">
        <v>25</v>
      </c>
      <c r="M24" s="4">
        <v>25</v>
      </c>
      <c r="N24" s="4">
        <v>25</v>
      </c>
      <c r="O24" s="4">
        <v>25</v>
      </c>
      <c r="P24" s="4">
        <v>30</v>
      </c>
      <c r="Q24" s="4">
        <v>30</v>
      </c>
      <c r="R24" s="4">
        <v>30</v>
      </c>
      <c r="S24" s="71">
        <v>30</v>
      </c>
    </row>
    <row r="25" spans="1:19">
      <c r="A25" s="5" t="s">
        <v>226</v>
      </c>
      <c r="B25" s="5" t="s">
        <v>266</v>
      </c>
      <c r="C25" s="67">
        <v>1105972</v>
      </c>
      <c r="D25" s="70" t="s">
        <v>1161</v>
      </c>
      <c r="E25" s="5" t="s">
        <v>266</v>
      </c>
      <c r="F25" s="5" t="s">
        <v>1148</v>
      </c>
      <c r="G25" s="5" t="s">
        <v>279</v>
      </c>
      <c r="H25" s="149">
        <f t="shared" si="0"/>
        <v>-0.41666666666666669</v>
      </c>
      <c r="I25" s="150">
        <f t="shared" si="1"/>
        <v>-25</v>
      </c>
      <c r="J25" s="4">
        <v>35</v>
      </c>
      <c r="K25" s="4">
        <v>60</v>
      </c>
      <c r="L25" s="4">
        <v>85</v>
      </c>
      <c r="M25" s="4">
        <v>85</v>
      </c>
      <c r="N25" s="4">
        <v>85</v>
      </c>
      <c r="O25" s="4">
        <v>30</v>
      </c>
      <c r="P25" s="4">
        <v>15</v>
      </c>
      <c r="Q25" s="4">
        <v>14</v>
      </c>
      <c r="R25" s="4">
        <v>25</v>
      </c>
      <c r="S25" s="71">
        <v>20</v>
      </c>
    </row>
    <row r="26" spans="1:19">
      <c r="A26" s="5" t="s">
        <v>226</v>
      </c>
      <c r="B26" s="5" t="s">
        <v>266</v>
      </c>
      <c r="C26" s="67">
        <v>1108778</v>
      </c>
      <c r="D26" s="70" t="s">
        <v>278</v>
      </c>
      <c r="E26" s="5" t="s">
        <v>266</v>
      </c>
      <c r="F26" s="5" t="s">
        <v>1148</v>
      </c>
      <c r="G26" s="5" t="s">
        <v>277</v>
      </c>
      <c r="H26" s="17">
        <f t="shared" si="0"/>
        <v>0.04</v>
      </c>
      <c r="I26" s="5">
        <f t="shared" si="1"/>
        <v>5</v>
      </c>
      <c r="J26" s="4">
        <v>130</v>
      </c>
      <c r="K26" s="4">
        <v>125</v>
      </c>
      <c r="L26" s="4">
        <v>160</v>
      </c>
      <c r="M26" s="4">
        <v>150</v>
      </c>
      <c r="N26" s="4">
        <v>165</v>
      </c>
      <c r="O26" s="4">
        <v>165</v>
      </c>
      <c r="P26" s="4">
        <v>150</v>
      </c>
      <c r="Q26" s="4">
        <v>160</v>
      </c>
      <c r="R26" s="4">
        <v>150</v>
      </c>
      <c r="S26" s="71">
        <v>155</v>
      </c>
    </row>
    <row r="27" spans="1:19">
      <c r="A27" s="5" t="s">
        <v>226</v>
      </c>
      <c r="B27" s="5" t="s">
        <v>266</v>
      </c>
      <c r="C27" s="67">
        <v>1120732</v>
      </c>
      <c r="D27" s="70" t="s">
        <v>139</v>
      </c>
      <c r="E27" s="5" t="s">
        <v>276</v>
      </c>
      <c r="F27" s="5" t="s">
        <v>1148</v>
      </c>
      <c r="G27" s="5" t="s">
        <v>275</v>
      </c>
      <c r="H27" s="149">
        <f t="shared" si="0"/>
        <v>-0.15333333333333332</v>
      </c>
      <c r="I27" s="150">
        <f t="shared" si="1"/>
        <v>-23</v>
      </c>
      <c r="J27" s="4">
        <v>127</v>
      </c>
      <c r="K27" s="4">
        <v>150</v>
      </c>
      <c r="L27" s="4">
        <v>123</v>
      </c>
      <c r="M27" s="4">
        <v>130</v>
      </c>
      <c r="N27" s="4">
        <v>126</v>
      </c>
      <c r="O27" s="4">
        <v>118</v>
      </c>
      <c r="P27" s="4">
        <v>109</v>
      </c>
      <c r="Q27" s="4">
        <v>91</v>
      </c>
      <c r="R27" s="4">
        <v>77</v>
      </c>
      <c r="S27" s="71">
        <v>99</v>
      </c>
    </row>
    <row r="28" spans="1:19">
      <c r="A28" s="5" t="s">
        <v>226</v>
      </c>
      <c r="B28" s="5" t="s">
        <v>266</v>
      </c>
      <c r="C28" s="67">
        <v>1121607</v>
      </c>
      <c r="D28" s="70" t="s">
        <v>274</v>
      </c>
      <c r="E28" s="5" t="s">
        <v>273</v>
      </c>
      <c r="F28" s="5" t="s">
        <v>1147</v>
      </c>
      <c r="G28" s="5" t="s">
        <v>272</v>
      </c>
      <c r="H28" s="149">
        <f t="shared" si="0"/>
        <v>-0.52631578947368418</v>
      </c>
      <c r="I28" s="150">
        <f t="shared" si="1"/>
        <v>-20</v>
      </c>
      <c r="J28" s="4">
        <v>18</v>
      </c>
      <c r="K28" s="4">
        <v>38</v>
      </c>
      <c r="L28" s="4">
        <v>38</v>
      </c>
      <c r="M28" s="4">
        <v>31</v>
      </c>
      <c r="N28" s="4">
        <v>34</v>
      </c>
      <c r="O28" s="4">
        <v>19</v>
      </c>
      <c r="P28" s="4">
        <v>45</v>
      </c>
      <c r="Q28" s="4">
        <v>32</v>
      </c>
      <c r="R28" s="4">
        <v>19</v>
      </c>
      <c r="S28" s="71">
        <v>19</v>
      </c>
    </row>
    <row r="29" spans="1:19">
      <c r="A29" s="5" t="s">
        <v>226</v>
      </c>
      <c r="B29" s="5" t="s">
        <v>266</v>
      </c>
      <c r="C29" s="67">
        <v>1239094</v>
      </c>
      <c r="D29" s="70" t="s">
        <v>271</v>
      </c>
      <c r="E29" s="5" t="s">
        <v>266</v>
      </c>
      <c r="F29" s="5" t="s">
        <v>1147</v>
      </c>
      <c r="G29" s="5" t="s">
        <v>270</v>
      </c>
      <c r="H29" s="17">
        <f t="shared" si="0"/>
        <v>0.04</v>
      </c>
      <c r="I29" s="5">
        <f t="shared" si="1"/>
        <v>5</v>
      </c>
      <c r="J29" s="4">
        <v>130</v>
      </c>
      <c r="K29" s="4">
        <v>125</v>
      </c>
      <c r="L29" s="4">
        <v>115</v>
      </c>
      <c r="M29" s="4">
        <v>115</v>
      </c>
      <c r="N29" s="4">
        <v>95</v>
      </c>
      <c r="O29" s="49"/>
      <c r="P29" s="49"/>
      <c r="Q29" s="49"/>
      <c r="R29" s="49"/>
      <c r="S29" s="50"/>
    </row>
    <row r="30" spans="1:19">
      <c r="A30" s="5" t="s">
        <v>226</v>
      </c>
      <c r="B30" s="5" t="s">
        <v>266</v>
      </c>
      <c r="C30" s="67">
        <v>1688589</v>
      </c>
      <c r="D30" s="70" t="s">
        <v>269</v>
      </c>
      <c r="E30" s="5" t="s">
        <v>268</v>
      </c>
      <c r="F30" s="5" t="s">
        <v>1147</v>
      </c>
      <c r="G30" s="5" t="s">
        <v>267</v>
      </c>
      <c r="H30" s="147">
        <f t="shared" si="0"/>
        <v>0.25</v>
      </c>
      <c r="I30" s="173">
        <f t="shared" si="1"/>
        <v>5</v>
      </c>
      <c r="J30" s="4">
        <v>25</v>
      </c>
      <c r="K30" s="4">
        <v>20</v>
      </c>
      <c r="L30" s="4">
        <v>35</v>
      </c>
      <c r="M30" s="4">
        <v>35</v>
      </c>
      <c r="N30" s="4">
        <v>0</v>
      </c>
      <c r="O30" s="49"/>
      <c r="P30" s="49"/>
      <c r="Q30" s="49"/>
      <c r="R30" s="49"/>
      <c r="S30" s="50"/>
    </row>
    <row r="31" spans="1:19">
      <c r="A31" s="5" t="s">
        <v>226</v>
      </c>
      <c r="B31" s="5" t="s">
        <v>266</v>
      </c>
      <c r="C31" s="67">
        <v>1059096</v>
      </c>
      <c r="D31" s="70" t="s">
        <v>25</v>
      </c>
      <c r="E31" s="5" t="s">
        <v>265</v>
      </c>
      <c r="F31" s="5" t="s">
        <v>1148</v>
      </c>
      <c r="G31" s="5" t="s">
        <v>264</v>
      </c>
      <c r="H31" s="58">
        <f t="shared" si="0"/>
        <v>0</v>
      </c>
      <c r="I31" s="59">
        <f t="shared" si="1"/>
        <v>0</v>
      </c>
      <c r="J31" s="54">
        <v>60</v>
      </c>
      <c r="K31" s="54">
        <v>60</v>
      </c>
      <c r="L31" s="54">
        <v>60</v>
      </c>
      <c r="M31" s="54">
        <v>60</v>
      </c>
      <c r="N31" s="54">
        <v>60</v>
      </c>
      <c r="O31" s="54">
        <v>70</v>
      </c>
      <c r="P31" s="54">
        <v>75</v>
      </c>
      <c r="Q31" s="54">
        <v>80</v>
      </c>
      <c r="R31" s="54">
        <v>70</v>
      </c>
      <c r="S31" s="145">
        <v>65</v>
      </c>
    </row>
    <row r="32" spans="1:19" ht="15" thickBot="1">
      <c r="D32" s="72" t="str">
        <f>"Church Count: "&amp;COUNTA(D5:D31)</f>
        <v>Church Count: 27</v>
      </c>
      <c r="E32" s="49"/>
      <c r="F32" s="49"/>
      <c r="G32" s="151" t="s">
        <v>1207</v>
      </c>
      <c r="H32" s="49"/>
      <c r="I32" s="49"/>
      <c r="J32" s="197">
        <f t="shared" ref="J32:S32" si="2">SUM(J5:J31)</f>
        <v>1781</v>
      </c>
      <c r="K32" s="197">
        <f t="shared" si="2"/>
        <v>1800</v>
      </c>
      <c r="L32" s="197">
        <f t="shared" si="2"/>
        <v>1979</v>
      </c>
      <c r="M32" s="197">
        <f t="shared" si="2"/>
        <v>1925</v>
      </c>
      <c r="N32" s="197">
        <f t="shared" si="2"/>
        <v>1835</v>
      </c>
      <c r="O32" s="197">
        <f t="shared" si="2"/>
        <v>1803</v>
      </c>
      <c r="P32" s="197">
        <f t="shared" si="2"/>
        <v>1853</v>
      </c>
      <c r="Q32" s="197">
        <f t="shared" si="2"/>
        <v>1826</v>
      </c>
      <c r="R32" s="197">
        <f t="shared" si="2"/>
        <v>1751</v>
      </c>
      <c r="S32" s="198">
        <f t="shared" si="2"/>
        <v>1826</v>
      </c>
    </row>
    <row r="33" spans="4:19" ht="15" thickTop="1">
      <c r="D33" s="152" t="s">
        <v>1180</v>
      </c>
      <c r="E33" s="49"/>
      <c r="F33" s="49"/>
      <c r="G33" s="151" t="s">
        <v>1208</v>
      </c>
      <c r="H33" s="49"/>
      <c r="I33" s="49"/>
      <c r="J33" s="205">
        <f>J32-K32</f>
        <v>-19</v>
      </c>
      <c r="K33" s="49"/>
      <c r="L33" s="49"/>
      <c r="M33" s="49"/>
      <c r="N33" s="49"/>
      <c r="O33" s="49"/>
      <c r="P33" s="49"/>
      <c r="Q33" s="49"/>
      <c r="R33" s="49"/>
      <c r="S33" s="50"/>
    </row>
    <row r="34" spans="4:19">
      <c r="D34" s="153" t="s">
        <v>1181</v>
      </c>
      <c r="E34" s="146"/>
      <c r="F34" s="146"/>
      <c r="G34" s="151" t="s">
        <v>1209</v>
      </c>
      <c r="H34" s="49"/>
      <c r="I34" s="49"/>
      <c r="J34" s="206">
        <f>(J32-K32)/ABS(K32)</f>
        <v>-1.0555555555555556E-2</v>
      </c>
      <c r="K34" s="49"/>
      <c r="L34" s="49"/>
      <c r="M34" s="49"/>
      <c r="N34" s="49"/>
      <c r="O34" s="49"/>
      <c r="P34" s="49"/>
      <c r="Q34" s="49"/>
      <c r="R34" s="49"/>
      <c r="S34" s="50"/>
    </row>
    <row r="35" spans="4:19">
      <c r="D35" s="170" t="s">
        <v>1210</v>
      </c>
      <c r="E35" s="49"/>
      <c r="F35" s="49"/>
      <c r="G35" s="218" t="s">
        <v>1220</v>
      </c>
      <c r="H35" s="49"/>
      <c r="I35" s="49"/>
      <c r="J35" s="219">
        <f>J32-S32</f>
        <v>-45</v>
      </c>
      <c r="K35" s="49"/>
      <c r="L35" s="49"/>
      <c r="M35" s="49"/>
      <c r="N35" s="49"/>
      <c r="O35" s="49"/>
      <c r="P35" s="49"/>
      <c r="Q35" s="49"/>
      <c r="R35" s="49"/>
      <c r="S35" s="50"/>
    </row>
    <row r="36" spans="4:19">
      <c r="D36" s="154" t="s">
        <v>1182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2"/>
    </row>
  </sheetData>
  <mergeCells count="1">
    <mergeCell ref="D1:S1"/>
  </mergeCells>
  <printOptions horizontalCentered="1"/>
  <pageMargins left="0.7" right="0.7" top="0.75" bottom="0.75" header="0.3" footer="0.3"/>
  <pageSetup scale="72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 enableFormatConditionsCalculation="0">
    <pageSetUpPr fitToPage="1"/>
  </sheetPr>
  <dimension ref="A1:S26"/>
  <sheetViews>
    <sheetView topLeftCell="D1" workbookViewId="0">
      <selection activeCell="G25" sqref="G25"/>
    </sheetView>
  </sheetViews>
  <sheetFormatPr baseColWidth="10" defaultColWidth="8.83203125" defaultRowHeight="14" x14ac:dyDescent="0"/>
  <cols>
    <col min="1" max="1" width="10.1640625" style="3" hidden="1" customWidth="1"/>
    <col min="2" max="2" width="7.5" style="3" hidden="1" customWidth="1"/>
    <col min="3" max="3" width="8.1640625" style="3" hidden="1" customWidth="1"/>
    <col min="4" max="4" width="32.83203125" style="3" bestFit="1" customWidth="1"/>
    <col min="5" max="5" width="11" style="3" bestFit="1" customWidth="1"/>
    <col min="6" max="6" width="10" style="3" bestFit="1" customWidth="1"/>
    <col min="7" max="7" width="24.1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East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Lufkin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321</v>
      </c>
      <c r="B5" s="5" t="s">
        <v>320</v>
      </c>
      <c r="C5" s="67">
        <v>1062835</v>
      </c>
      <c r="D5" s="70" t="s">
        <v>352</v>
      </c>
      <c r="E5" s="5" t="s">
        <v>319</v>
      </c>
      <c r="F5" s="5" t="s">
        <v>1147</v>
      </c>
      <c r="G5" s="5" t="s">
        <v>3</v>
      </c>
      <c r="H5" s="174">
        <f>(J5-K5)/ABS(K5)</f>
        <v>0.11764705882352941</v>
      </c>
      <c r="I5" s="173">
        <f>J5-K5</f>
        <v>6</v>
      </c>
      <c r="J5" s="4">
        <v>57</v>
      </c>
      <c r="K5" s="4">
        <v>51</v>
      </c>
      <c r="L5" s="4">
        <v>51</v>
      </c>
      <c r="M5" s="4">
        <v>54</v>
      </c>
      <c r="N5" s="4">
        <v>64</v>
      </c>
      <c r="O5" s="4">
        <v>55</v>
      </c>
      <c r="P5" s="4">
        <v>53</v>
      </c>
      <c r="Q5" s="4">
        <v>57</v>
      </c>
      <c r="R5" s="4">
        <v>52</v>
      </c>
      <c r="S5" s="71">
        <v>68</v>
      </c>
    </row>
    <row r="6" spans="1:19">
      <c r="A6" s="5" t="s">
        <v>321</v>
      </c>
      <c r="B6" s="5" t="s">
        <v>320</v>
      </c>
      <c r="C6" s="67">
        <v>1059781</v>
      </c>
      <c r="D6" s="70" t="s">
        <v>55</v>
      </c>
      <c r="E6" s="5" t="s">
        <v>320</v>
      </c>
      <c r="F6" s="5" t="s">
        <v>1148</v>
      </c>
      <c r="G6" s="5" t="s">
        <v>351</v>
      </c>
      <c r="H6" s="149">
        <f t="shared" ref="H6:H21" si="0">(J6-K6)/ABS(K6)</f>
        <v>-0.54545454545454541</v>
      </c>
      <c r="I6" s="150">
        <f t="shared" ref="I6:I21" si="1">J6-K6</f>
        <v>-30</v>
      </c>
      <c r="J6" s="4">
        <v>25</v>
      </c>
      <c r="K6" s="4">
        <v>55</v>
      </c>
      <c r="L6" s="4">
        <v>55</v>
      </c>
      <c r="M6" s="4">
        <v>55</v>
      </c>
      <c r="N6" s="4">
        <v>55</v>
      </c>
      <c r="O6" s="4">
        <v>55</v>
      </c>
      <c r="P6" s="4">
        <v>55</v>
      </c>
      <c r="Q6" s="4">
        <v>85</v>
      </c>
      <c r="R6" s="4">
        <v>85</v>
      </c>
      <c r="S6" s="71">
        <v>80</v>
      </c>
    </row>
    <row r="7" spans="1:19">
      <c r="A7" s="5" t="s">
        <v>321</v>
      </c>
      <c r="B7" s="5" t="s">
        <v>320</v>
      </c>
      <c r="C7" s="67">
        <v>1059799</v>
      </c>
      <c r="D7" s="70" t="s">
        <v>25</v>
      </c>
      <c r="E7" s="5" t="s">
        <v>320</v>
      </c>
      <c r="F7" s="5" t="s">
        <v>1148</v>
      </c>
      <c r="G7" s="5" t="s">
        <v>350</v>
      </c>
      <c r="H7" s="149">
        <f t="shared" si="0"/>
        <v>-0.10974822466107166</v>
      </c>
      <c r="I7" s="150">
        <f t="shared" si="1"/>
        <v>-170</v>
      </c>
      <c r="J7" s="176">
        <v>1379</v>
      </c>
      <c r="K7" s="4">
        <v>1549</v>
      </c>
      <c r="L7" s="4">
        <v>1317</v>
      </c>
      <c r="M7" s="4">
        <v>1227</v>
      </c>
      <c r="N7" s="4">
        <v>1200</v>
      </c>
      <c r="O7" s="4">
        <v>1235</v>
      </c>
      <c r="P7" s="4">
        <v>1236</v>
      </c>
      <c r="Q7" s="4">
        <v>1283</v>
      </c>
      <c r="R7" s="4">
        <v>1309</v>
      </c>
      <c r="S7" s="71">
        <v>1450</v>
      </c>
    </row>
    <row r="8" spans="1:19">
      <c r="A8" s="5" t="s">
        <v>321</v>
      </c>
      <c r="B8" s="5" t="s">
        <v>320</v>
      </c>
      <c r="C8" s="67">
        <v>1059823</v>
      </c>
      <c r="D8" s="70" t="s">
        <v>108</v>
      </c>
      <c r="E8" s="5" t="s">
        <v>320</v>
      </c>
      <c r="F8" s="5" t="s">
        <v>1148</v>
      </c>
      <c r="G8" s="5" t="s">
        <v>349</v>
      </c>
      <c r="H8" s="58">
        <f t="shared" si="0"/>
        <v>0</v>
      </c>
      <c r="I8" s="59">
        <f t="shared" si="1"/>
        <v>0</v>
      </c>
      <c r="J8" s="4">
        <v>99</v>
      </c>
      <c r="K8" s="4">
        <v>99</v>
      </c>
      <c r="L8" s="4">
        <v>50</v>
      </c>
      <c r="M8" s="4">
        <v>70</v>
      </c>
      <c r="N8" s="4">
        <v>70</v>
      </c>
      <c r="O8" s="4">
        <v>70</v>
      </c>
      <c r="P8" s="4">
        <v>70</v>
      </c>
      <c r="Q8" s="4">
        <v>55</v>
      </c>
      <c r="R8" s="4">
        <v>70</v>
      </c>
      <c r="S8" s="71">
        <v>70</v>
      </c>
    </row>
    <row r="9" spans="1:19">
      <c r="A9" s="5" t="s">
        <v>321</v>
      </c>
      <c r="B9" s="5" t="s">
        <v>320</v>
      </c>
      <c r="C9" s="67">
        <v>1059864</v>
      </c>
      <c r="D9" s="70" t="s">
        <v>25</v>
      </c>
      <c r="E9" s="5" t="s">
        <v>348</v>
      </c>
      <c r="F9" s="5" t="s">
        <v>1148</v>
      </c>
      <c r="G9" s="5" t="s">
        <v>347</v>
      </c>
      <c r="H9" s="175">
        <f t="shared" si="0"/>
        <v>0.5376344086021505</v>
      </c>
      <c r="I9" s="173">
        <f t="shared" si="1"/>
        <v>50</v>
      </c>
      <c r="J9" s="4">
        <v>143</v>
      </c>
      <c r="K9" s="4">
        <v>93</v>
      </c>
      <c r="L9" s="4">
        <v>50</v>
      </c>
      <c r="M9" s="4">
        <v>50</v>
      </c>
      <c r="N9" s="4">
        <v>36</v>
      </c>
      <c r="O9" s="4">
        <v>55</v>
      </c>
      <c r="P9" s="4">
        <v>50</v>
      </c>
      <c r="Q9" s="4">
        <v>62</v>
      </c>
      <c r="R9" s="4">
        <v>62</v>
      </c>
      <c r="S9" s="71">
        <v>60</v>
      </c>
    </row>
    <row r="10" spans="1:19">
      <c r="A10" s="5" t="s">
        <v>321</v>
      </c>
      <c r="B10" s="5" t="s">
        <v>320</v>
      </c>
      <c r="C10" s="67">
        <v>1059955</v>
      </c>
      <c r="D10" s="70" t="s">
        <v>75</v>
      </c>
      <c r="E10" s="5" t="s">
        <v>346</v>
      </c>
      <c r="F10" s="5" t="s">
        <v>1147</v>
      </c>
      <c r="G10" s="5" t="s">
        <v>345</v>
      </c>
      <c r="H10" s="149">
        <f t="shared" si="0"/>
        <v>-0.6875</v>
      </c>
      <c r="I10" s="150">
        <f t="shared" si="1"/>
        <v>-22</v>
      </c>
      <c r="J10" s="4">
        <v>10</v>
      </c>
      <c r="K10" s="4">
        <v>32</v>
      </c>
      <c r="L10" s="4">
        <v>32</v>
      </c>
      <c r="M10" s="4">
        <v>32</v>
      </c>
      <c r="N10" s="4">
        <v>32</v>
      </c>
      <c r="O10" s="4">
        <v>32</v>
      </c>
      <c r="P10" s="4">
        <v>32</v>
      </c>
      <c r="Q10" s="4">
        <v>32</v>
      </c>
      <c r="R10" s="4">
        <v>32</v>
      </c>
      <c r="S10" s="71">
        <v>40</v>
      </c>
    </row>
    <row r="11" spans="1:19">
      <c r="A11" s="5" t="s">
        <v>321</v>
      </c>
      <c r="B11" s="5" t="s">
        <v>320</v>
      </c>
      <c r="C11" s="67">
        <v>1059963</v>
      </c>
      <c r="D11" s="70" t="s">
        <v>344</v>
      </c>
      <c r="E11" s="5" t="s">
        <v>343</v>
      </c>
      <c r="F11" s="5" t="s">
        <v>1148</v>
      </c>
      <c r="G11" s="5" t="s">
        <v>342</v>
      </c>
      <c r="H11" s="188">
        <f t="shared" si="0"/>
        <v>-7.1428571428571425E-2</v>
      </c>
      <c r="I11" s="189">
        <f t="shared" si="1"/>
        <v>-50</v>
      </c>
      <c r="J11" s="4">
        <v>650</v>
      </c>
      <c r="K11" s="4">
        <v>700</v>
      </c>
      <c r="L11" s="4">
        <v>600</v>
      </c>
      <c r="M11" s="4">
        <v>550</v>
      </c>
      <c r="N11" s="4">
        <v>550</v>
      </c>
      <c r="O11" s="4">
        <v>550</v>
      </c>
      <c r="P11" s="4">
        <v>550</v>
      </c>
      <c r="Q11" s="4">
        <v>550</v>
      </c>
      <c r="R11" s="4">
        <v>375</v>
      </c>
      <c r="S11" s="71">
        <v>390</v>
      </c>
    </row>
    <row r="12" spans="1:19">
      <c r="A12" s="5" t="s">
        <v>321</v>
      </c>
      <c r="B12" s="5" t="s">
        <v>320</v>
      </c>
      <c r="C12" s="67">
        <v>1059773</v>
      </c>
      <c r="D12" s="70" t="s">
        <v>341</v>
      </c>
      <c r="E12" s="5" t="s">
        <v>340</v>
      </c>
      <c r="F12" s="5" t="s">
        <v>1148</v>
      </c>
      <c r="G12" s="5" t="s">
        <v>339</v>
      </c>
      <c r="H12" s="58">
        <f t="shared" si="0"/>
        <v>0</v>
      </c>
      <c r="I12" s="59">
        <f t="shared" si="1"/>
        <v>0</v>
      </c>
      <c r="J12" s="4">
        <v>70</v>
      </c>
      <c r="K12" s="4">
        <v>70</v>
      </c>
      <c r="L12" s="4">
        <v>70</v>
      </c>
      <c r="M12" s="4">
        <v>65</v>
      </c>
      <c r="N12" s="4">
        <v>74</v>
      </c>
      <c r="O12" s="4">
        <v>77</v>
      </c>
      <c r="P12" s="4">
        <v>73</v>
      </c>
      <c r="Q12" s="4">
        <v>71</v>
      </c>
      <c r="R12" s="4">
        <v>65</v>
      </c>
      <c r="S12" s="71">
        <v>70</v>
      </c>
    </row>
    <row r="13" spans="1:19">
      <c r="A13" s="5" t="s">
        <v>321</v>
      </c>
      <c r="B13" s="5" t="s">
        <v>320</v>
      </c>
      <c r="C13" s="67">
        <v>1062819</v>
      </c>
      <c r="D13" s="70" t="s">
        <v>338</v>
      </c>
      <c r="E13" s="5" t="s">
        <v>319</v>
      </c>
      <c r="F13" s="5" t="s">
        <v>1148</v>
      </c>
      <c r="G13" s="5" t="s">
        <v>337</v>
      </c>
      <c r="H13" s="149">
        <f t="shared" si="0"/>
        <v>-6.8965517241379309E-2</v>
      </c>
      <c r="I13" s="150">
        <f t="shared" si="1"/>
        <v>-10</v>
      </c>
      <c r="J13" s="4">
        <v>135</v>
      </c>
      <c r="K13" s="4">
        <v>145</v>
      </c>
      <c r="L13" s="4">
        <v>143</v>
      </c>
      <c r="M13" s="4">
        <v>160</v>
      </c>
      <c r="N13" s="4">
        <v>115</v>
      </c>
      <c r="O13" s="4">
        <v>115</v>
      </c>
      <c r="P13" s="4">
        <v>115</v>
      </c>
      <c r="Q13" s="4">
        <v>118</v>
      </c>
      <c r="R13" s="4">
        <v>105</v>
      </c>
      <c r="S13" s="71">
        <v>115</v>
      </c>
    </row>
    <row r="14" spans="1:19">
      <c r="A14" s="5" t="s">
        <v>321</v>
      </c>
      <c r="B14" s="5" t="s">
        <v>320</v>
      </c>
      <c r="C14" s="67">
        <v>1934975</v>
      </c>
      <c r="D14" s="70" t="s">
        <v>336</v>
      </c>
      <c r="E14" s="5" t="s">
        <v>335</v>
      </c>
      <c r="F14" s="5" t="s">
        <v>1147</v>
      </c>
      <c r="G14" s="5" t="s">
        <v>334</v>
      </c>
      <c r="H14" s="149">
        <f t="shared" si="0"/>
        <v>-0.31034482758620691</v>
      </c>
      <c r="I14" s="150">
        <f t="shared" si="1"/>
        <v>-9</v>
      </c>
      <c r="J14" s="4">
        <v>20</v>
      </c>
      <c r="K14" s="4">
        <v>29</v>
      </c>
      <c r="L14" s="4">
        <v>16</v>
      </c>
      <c r="M14" s="4">
        <v>18</v>
      </c>
      <c r="N14" s="4">
        <v>15</v>
      </c>
      <c r="O14" s="4">
        <v>15</v>
      </c>
      <c r="P14" s="4">
        <v>15</v>
      </c>
      <c r="Q14" s="4">
        <v>15</v>
      </c>
      <c r="R14" s="4">
        <v>15</v>
      </c>
      <c r="S14" s="71">
        <v>25</v>
      </c>
    </row>
    <row r="15" spans="1:19">
      <c r="A15" s="5" t="s">
        <v>321</v>
      </c>
      <c r="B15" s="5" t="s">
        <v>320</v>
      </c>
      <c r="C15" s="67">
        <v>1103787</v>
      </c>
      <c r="D15" s="70" t="s">
        <v>333</v>
      </c>
      <c r="E15" s="5" t="s">
        <v>332</v>
      </c>
      <c r="F15" s="5" t="s">
        <v>1148</v>
      </c>
      <c r="G15" s="5" t="s">
        <v>331</v>
      </c>
      <c r="H15" s="149">
        <f t="shared" si="0"/>
        <v>-0.16666666666666666</v>
      </c>
      <c r="I15" s="150">
        <f t="shared" si="1"/>
        <v>-10</v>
      </c>
      <c r="J15" s="4">
        <v>50</v>
      </c>
      <c r="K15" s="4">
        <v>60</v>
      </c>
      <c r="L15" s="4">
        <v>70</v>
      </c>
      <c r="M15" s="4">
        <v>90</v>
      </c>
      <c r="N15" s="4">
        <v>90</v>
      </c>
      <c r="O15" s="4">
        <v>90</v>
      </c>
      <c r="P15" s="4">
        <v>90</v>
      </c>
      <c r="Q15" s="4">
        <v>95</v>
      </c>
      <c r="R15" s="4">
        <v>95</v>
      </c>
      <c r="S15" s="71">
        <v>90</v>
      </c>
    </row>
    <row r="16" spans="1:19">
      <c r="A16" s="5" t="s">
        <v>321</v>
      </c>
      <c r="B16" s="5" t="s">
        <v>320</v>
      </c>
      <c r="C16" s="67">
        <v>1109313</v>
      </c>
      <c r="D16" s="70" t="s">
        <v>330</v>
      </c>
      <c r="E16" s="5" t="s">
        <v>329</v>
      </c>
      <c r="F16" s="5" t="s">
        <v>1147</v>
      </c>
      <c r="G16" s="5" t="s">
        <v>3</v>
      </c>
      <c r="H16" s="58">
        <f t="shared" si="0"/>
        <v>0</v>
      </c>
      <c r="I16" s="59">
        <f t="shared" si="1"/>
        <v>0</v>
      </c>
      <c r="J16" s="4">
        <v>30</v>
      </c>
      <c r="K16" s="4">
        <v>30</v>
      </c>
      <c r="L16" s="4">
        <v>30</v>
      </c>
      <c r="M16" s="4">
        <v>30</v>
      </c>
      <c r="N16" s="4">
        <v>30</v>
      </c>
      <c r="O16" s="4">
        <v>30</v>
      </c>
      <c r="P16" s="4">
        <v>30</v>
      </c>
      <c r="Q16" s="4">
        <v>30</v>
      </c>
      <c r="R16" s="4">
        <v>45</v>
      </c>
      <c r="S16" s="71">
        <v>70</v>
      </c>
    </row>
    <row r="17" spans="1:19">
      <c r="A17" s="5" t="s">
        <v>321</v>
      </c>
      <c r="B17" s="5" t="s">
        <v>320</v>
      </c>
      <c r="C17" s="67">
        <v>1110600</v>
      </c>
      <c r="D17" s="70" t="s">
        <v>25</v>
      </c>
      <c r="E17" s="5" t="s">
        <v>328</v>
      </c>
      <c r="F17" s="5" t="s">
        <v>1147</v>
      </c>
      <c r="G17" s="5" t="s">
        <v>327</v>
      </c>
      <c r="H17" s="174">
        <f t="shared" si="0"/>
        <v>0.4</v>
      </c>
      <c r="I17" s="173">
        <f t="shared" si="1"/>
        <v>20</v>
      </c>
      <c r="J17" s="4">
        <v>70</v>
      </c>
      <c r="K17" s="4">
        <v>50</v>
      </c>
      <c r="L17" s="4">
        <v>50</v>
      </c>
      <c r="M17" s="4">
        <v>45</v>
      </c>
      <c r="N17" s="4">
        <v>21</v>
      </c>
      <c r="O17" s="4">
        <v>21</v>
      </c>
      <c r="P17" s="4">
        <v>27</v>
      </c>
      <c r="Q17" s="4">
        <v>15</v>
      </c>
      <c r="R17" s="4">
        <v>25</v>
      </c>
      <c r="S17" s="71">
        <v>25</v>
      </c>
    </row>
    <row r="18" spans="1:19">
      <c r="A18" s="5" t="s">
        <v>321</v>
      </c>
      <c r="B18" s="5" t="s">
        <v>320</v>
      </c>
      <c r="C18" s="67">
        <v>1514223</v>
      </c>
      <c r="D18" s="70" t="s">
        <v>25</v>
      </c>
      <c r="E18" s="5" t="s">
        <v>326</v>
      </c>
      <c r="F18" s="5" t="s">
        <v>1147</v>
      </c>
      <c r="G18" s="5" t="s">
        <v>325</v>
      </c>
      <c r="H18" s="58">
        <f t="shared" si="0"/>
        <v>0</v>
      </c>
      <c r="I18" s="59">
        <f t="shared" si="1"/>
        <v>0</v>
      </c>
      <c r="J18" s="4">
        <v>100</v>
      </c>
      <c r="K18" s="4">
        <v>100</v>
      </c>
      <c r="L18" s="4">
        <v>100</v>
      </c>
      <c r="M18" s="4">
        <v>87</v>
      </c>
      <c r="N18" s="4">
        <v>103</v>
      </c>
      <c r="O18" s="4">
        <v>110</v>
      </c>
      <c r="P18" s="4">
        <v>125</v>
      </c>
      <c r="Q18" s="4">
        <v>123</v>
      </c>
      <c r="R18" s="4">
        <v>140</v>
      </c>
      <c r="S18" s="71">
        <v>150</v>
      </c>
    </row>
    <row r="19" spans="1:19">
      <c r="A19" s="5" t="s">
        <v>321</v>
      </c>
      <c r="B19" s="5" t="s">
        <v>320</v>
      </c>
      <c r="C19" s="67">
        <v>1535335</v>
      </c>
      <c r="D19" s="70" t="s">
        <v>324</v>
      </c>
      <c r="E19" s="5" t="s">
        <v>323</v>
      </c>
      <c r="F19" s="5" t="s">
        <v>1148</v>
      </c>
      <c r="G19" s="5" t="s">
        <v>3</v>
      </c>
      <c r="H19" s="58">
        <f t="shared" si="0"/>
        <v>0</v>
      </c>
      <c r="I19" s="59">
        <f t="shared" si="1"/>
        <v>0</v>
      </c>
      <c r="J19" s="4">
        <v>40</v>
      </c>
      <c r="K19" s="4">
        <v>40</v>
      </c>
      <c r="L19" s="4">
        <v>40</v>
      </c>
      <c r="M19" s="4">
        <v>40</v>
      </c>
      <c r="N19" s="4">
        <v>40</v>
      </c>
      <c r="O19" s="4">
        <v>40</v>
      </c>
      <c r="P19" s="4">
        <v>45</v>
      </c>
      <c r="Q19" s="4">
        <v>35</v>
      </c>
      <c r="R19" s="4">
        <v>30</v>
      </c>
      <c r="S19" s="71">
        <v>33</v>
      </c>
    </row>
    <row r="20" spans="1:19">
      <c r="A20" s="5" t="s">
        <v>321</v>
      </c>
      <c r="B20" s="5" t="s">
        <v>320</v>
      </c>
      <c r="C20" s="67">
        <v>1915271</v>
      </c>
      <c r="D20" s="70" t="s">
        <v>204</v>
      </c>
      <c r="E20" s="5" t="s">
        <v>320</v>
      </c>
      <c r="F20" s="5" t="s">
        <v>1148</v>
      </c>
      <c r="G20" s="5" t="s">
        <v>322</v>
      </c>
      <c r="H20" s="58">
        <f t="shared" si="0"/>
        <v>0</v>
      </c>
      <c r="I20" s="59">
        <f t="shared" si="1"/>
        <v>0</v>
      </c>
      <c r="J20" s="4">
        <v>120</v>
      </c>
      <c r="K20" s="4">
        <v>120</v>
      </c>
      <c r="L20" s="4">
        <v>76</v>
      </c>
      <c r="M20" s="4">
        <v>68</v>
      </c>
      <c r="N20" s="4">
        <v>84</v>
      </c>
      <c r="O20" s="4">
        <v>79</v>
      </c>
      <c r="P20" s="4">
        <v>75</v>
      </c>
      <c r="Q20" s="4">
        <v>59</v>
      </c>
      <c r="R20" s="4">
        <v>52</v>
      </c>
      <c r="S20" s="71">
        <v>116</v>
      </c>
    </row>
    <row r="21" spans="1:19">
      <c r="A21" s="5" t="s">
        <v>321</v>
      </c>
      <c r="B21" s="5" t="s">
        <v>320</v>
      </c>
      <c r="C21" s="67">
        <v>1062801</v>
      </c>
      <c r="D21" s="70" t="s">
        <v>25</v>
      </c>
      <c r="E21" s="5" t="s">
        <v>319</v>
      </c>
      <c r="F21" s="5" t="s">
        <v>1148</v>
      </c>
      <c r="G21" s="5" t="s">
        <v>318</v>
      </c>
      <c r="H21" s="17">
        <f t="shared" si="0"/>
        <v>3.1128404669260701E-2</v>
      </c>
      <c r="I21" s="5">
        <f t="shared" si="1"/>
        <v>8</v>
      </c>
      <c r="J21" s="54">
        <v>265</v>
      </c>
      <c r="K21" s="54">
        <v>257</v>
      </c>
      <c r="L21" s="54">
        <v>241</v>
      </c>
      <c r="M21" s="54">
        <v>241</v>
      </c>
      <c r="N21" s="54">
        <v>249</v>
      </c>
      <c r="O21" s="54">
        <v>239</v>
      </c>
      <c r="P21" s="54">
        <v>222</v>
      </c>
      <c r="Q21" s="54">
        <v>233</v>
      </c>
      <c r="R21" s="54">
        <v>225</v>
      </c>
      <c r="S21" s="145">
        <v>218</v>
      </c>
    </row>
    <row r="22" spans="1:19" ht="15" thickBot="1">
      <c r="D22" s="72" t="str">
        <f>"Church Count: "&amp;COUNTA(D5:D21)</f>
        <v>Church Count: 17</v>
      </c>
      <c r="E22" s="49"/>
      <c r="F22" s="49"/>
      <c r="G22" s="151" t="s">
        <v>1207</v>
      </c>
      <c r="H22" s="17"/>
      <c r="I22" s="5"/>
      <c r="J22" s="201">
        <f t="shared" ref="J22:S22" si="2">SUM(J5:J21)</f>
        <v>3263</v>
      </c>
      <c r="K22" s="197">
        <f t="shared" si="2"/>
        <v>3480</v>
      </c>
      <c r="L22" s="197">
        <f t="shared" si="2"/>
        <v>2991</v>
      </c>
      <c r="M22" s="197">
        <f t="shared" si="2"/>
        <v>2882</v>
      </c>
      <c r="N22" s="197">
        <f t="shared" si="2"/>
        <v>2828</v>
      </c>
      <c r="O22" s="197">
        <f t="shared" si="2"/>
        <v>2868</v>
      </c>
      <c r="P22" s="197">
        <f t="shared" si="2"/>
        <v>2863</v>
      </c>
      <c r="Q22" s="197">
        <f t="shared" si="2"/>
        <v>2918</v>
      </c>
      <c r="R22" s="197">
        <f t="shared" si="2"/>
        <v>2782</v>
      </c>
      <c r="S22" s="198">
        <f t="shared" si="2"/>
        <v>3070</v>
      </c>
    </row>
    <row r="23" spans="1:19" ht="15" thickTop="1">
      <c r="D23" s="152" t="s">
        <v>1180</v>
      </c>
      <c r="E23" s="49"/>
      <c r="F23" s="49"/>
      <c r="G23" s="151" t="s">
        <v>1208</v>
      </c>
      <c r="H23" s="49"/>
      <c r="I23" s="49"/>
      <c r="J23" s="205">
        <f>J22-K22</f>
        <v>-217</v>
      </c>
      <c r="K23" s="49"/>
      <c r="L23" s="49"/>
      <c r="M23" s="49"/>
      <c r="N23" s="49"/>
      <c r="O23" s="49"/>
      <c r="P23" s="49"/>
      <c r="Q23" s="49"/>
      <c r="R23" s="49"/>
      <c r="S23" s="50"/>
    </row>
    <row r="24" spans="1:19">
      <c r="D24" s="153" t="s">
        <v>1181</v>
      </c>
      <c r="E24" s="146"/>
      <c r="F24" s="146"/>
      <c r="G24" s="151" t="s">
        <v>1209</v>
      </c>
      <c r="H24" s="49"/>
      <c r="I24" s="49"/>
      <c r="J24" s="206">
        <f>(J22-K22)/ABS(K22)</f>
        <v>-6.2356321839080457E-2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D25" s="170" t="s">
        <v>1210</v>
      </c>
      <c r="E25" s="49"/>
      <c r="F25" s="49"/>
      <c r="G25" s="218" t="s">
        <v>1219</v>
      </c>
      <c r="H25" s="49"/>
      <c r="I25" s="49"/>
      <c r="J25" s="222">
        <f>J22-S22</f>
        <v>193</v>
      </c>
      <c r="K25" s="49"/>
      <c r="L25" s="49"/>
      <c r="M25" s="49"/>
      <c r="N25" s="49"/>
      <c r="O25" s="49"/>
      <c r="P25" s="49"/>
      <c r="Q25" s="49"/>
      <c r="R25" s="49"/>
      <c r="S25" s="50"/>
    </row>
    <row r="26" spans="1:19">
      <c r="D26" s="154" t="s">
        <v>1182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2"/>
    </row>
  </sheetData>
  <mergeCells count="1">
    <mergeCell ref="D1:S1"/>
  </mergeCells>
  <printOptions horizontalCentered="1"/>
  <pageMargins left="0.7" right="0.7" top="0.75" bottom="0.75" header="0.3" footer="0.3"/>
  <pageSetup scale="75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 enableFormatConditionsCalculation="0">
    <pageSetUpPr fitToPage="1"/>
  </sheetPr>
  <dimension ref="A1:S29"/>
  <sheetViews>
    <sheetView topLeftCell="D1" workbookViewId="0">
      <selection activeCell="J28" sqref="J28"/>
    </sheetView>
  </sheetViews>
  <sheetFormatPr baseColWidth="10" defaultColWidth="8.83203125" defaultRowHeight="14" x14ac:dyDescent="0"/>
  <cols>
    <col min="1" max="1" width="7.5" style="3" hidden="1" customWidth="1"/>
    <col min="2" max="2" width="9.5" style="3" hidden="1" customWidth="1"/>
    <col min="3" max="3" width="8.1640625" style="3" hidden="1" customWidth="1"/>
    <col min="4" max="4" width="34.83203125" style="3" bestFit="1" customWidth="1"/>
    <col min="5" max="5" width="10.1640625" style="3" bestFit="1" customWidth="1"/>
    <col min="6" max="6" width="10" style="3" bestFit="1" customWidth="1"/>
    <col min="7" max="7" width="21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Mesquite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356</v>
      </c>
      <c r="B5" s="5" t="s">
        <v>354</v>
      </c>
      <c r="C5" s="67">
        <v>1091784</v>
      </c>
      <c r="D5" s="70" t="s">
        <v>330</v>
      </c>
      <c r="E5" s="5" t="s">
        <v>354</v>
      </c>
      <c r="F5" s="5" t="s">
        <v>1148</v>
      </c>
      <c r="G5" s="5" t="s">
        <v>391</v>
      </c>
      <c r="H5" s="58">
        <f>(J5-K5)/ABS(K5)</f>
        <v>0</v>
      </c>
      <c r="I5" s="59">
        <f>J5-K5</f>
        <v>0</v>
      </c>
      <c r="J5" s="4">
        <v>125</v>
      </c>
      <c r="K5" s="4">
        <v>125</v>
      </c>
      <c r="L5" s="4">
        <v>125</v>
      </c>
      <c r="M5" s="4">
        <v>110</v>
      </c>
      <c r="N5" s="4">
        <v>100</v>
      </c>
      <c r="O5" s="4">
        <v>100</v>
      </c>
      <c r="P5" s="4">
        <v>100</v>
      </c>
      <c r="Q5" s="4">
        <v>150</v>
      </c>
      <c r="R5" s="4">
        <v>175</v>
      </c>
      <c r="S5" s="71">
        <v>150</v>
      </c>
    </row>
    <row r="6" spans="1:19">
      <c r="A6" s="5" t="s">
        <v>356</v>
      </c>
      <c r="B6" s="5" t="s">
        <v>354</v>
      </c>
      <c r="C6" s="67">
        <v>1057439</v>
      </c>
      <c r="D6" s="70" t="s">
        <v>25</v>
      </c>
      <c r="E6" s="5" t="s">
        <v>390</v>
      </c>
      <c r="F6" s="5" t="s">
        <v>1147</v>
      </c>
      <c r="G6" s="5" t="s">
        <v>389</v>
      </c>
      <c r="H6" s="174">
        <f t="shared" ref="H6:H23" si="0">(J6-K6)/ABS(K6)</f>
        <v>0.2</v>
      </c>
      <c r="I6" s="173">
        <f t="shared" ref="I6:I24" si="1">J6-K6</f>
        <v>5</v>
      </c>
      <c r="J6" s="4">
        <v>30</v>
      </c>
      <c r="K6" s="4">
        <v>25</v>
      </c>
      <c r="L6" s="4">
        <v>30</v>
      </c>
      <c r="M6" s="4">
        <v>30</v>
      </c>
      <c r="N6" s="4">
        <v>25</v>
      </c>
      <c r="O6" s="4">
        <v>25</v>
      </c>
      <c r="P6" s="4">
        <v>25</v>
      </c>
      <c r="Q6" s="4">
        <v>25</v>
      </c>
      <c r="R6" s="4">
        <v>20</v>
      </c>
      <c r="S6" s="71">
        <v>15</v>
      </c>
    </row>
    <row r="7" spans="1:19">
      <c r="A7" s="5" t="s">
        <v>356</v>
      </c>
      <c r="B7" s="5" t="s">
        <v>354</v>
      </c>
      <c r="C7" s="67">
        <v>1057538</v>
      </c>
      <c r="D7" s="70" t="s">
        <v>25</v>
      </c>
      <c r="E7" s="5" t="s">
        <v>354</v>
      </c>
      <c r="F7" s="5" t="s">
        <v>1148</v>
      </c>
      <c r="G7" s="5" t="s">
        <v>388</v>
      </c>
      <c r="H7" s="149">
        <f t="shared" si="0"/>
        <v>-4.7619047619047616E-2</v>
      </c>
      <c r="I7" s="150">
        <f t="shared" si="1"/>
        <v>-12</v>
      </c>
      <c r="J7" s="4">
        <v>240</v>
      </c>
      <c r="K7" s="4">
        <v>252</v>
      </c>
      <c r="L7" s="4">
        <v>254</v>
      </c>
      <c r="M7" s="4">
        <v>262</v>
      </c>
      <c r="N7" s="4">
        <v>228</v>
      </c>
      <c r="O7" s="4">
        <v>204</v>
      </c>
      <c r="P7" s="4">
        <v>182</v>
      </c>
      <c r="Q7" s="4">
        <v>229</v>
      </c>
      <c r="R7" s="4">
        <v>307</v>
      </c>
      <c r="S7" s="71">
        <v>299</v>
      </c>
    </row>
    <row r="8" spans="1:19">
      <c r="A8" s="5" t="s">
        <v>356</v>
      </c>
      <c r="B8" s="5" t="s">
        <v>354</v>
      </c>
      <c r="C8" s="67">
        <v>1057587</v>
      </c>
      <c r="D8" s="70" t="s">
        <v>387</v>
      </c>
      <c r="E8" s="5" t="s">
        <v>383</v>
      </c>
      <c r="F8" s="5" t="s">
        <v>1147</v>
      </c>
      <c r="G8" s="5" t="s">
        <v>3</v>
      </c>
      <c r="H8" s="58">
        <f t="shared" si="0"/>
        <v>0</v>
      </c>
      <c r="I8" s="59">
        <f t="shared" si="1"/>
        <v>0</v>
      </c>
      <c r="J8" s="4">
        <v>80</v>
      </c>
      <c r="K8" s="4">
        <v>80</v>
      </c>
      <c r="L8" s="4">
        <v>80</v>
      </c>
      <c r="M8" s="4">
        <v>55</v>
      </c>
      <c r="N8" s="4">
        <v>63</v>
      </c>
      <c r="O8" s="4">
        <v>58</v>
      </c>
      <c r="P8" s="4">
        <v>61</v>
      </c>
      <c r="Q8" s="4">
        <v>55</v>
      </c>
      <c r="R8" s="4">
        <v>45</v>
      </c>
      <c r="S8" s="71">
        <v>105</v>
      </c>
    </row>
    <row r="9" spans="1:19">
      <c r="A9" s="5" t="s">
        <v>356</v>
      </c>
      <c r="B9" s="5" t="s">
        <v>354</v>
      </c>
      <c r="C9" s="67">
        <v>1057595</v>
      </c>
      <c r="D9" s="70" t="s">
        <v>386</v>
      </c>
      <c r="E9" s="5" t="s">
        <v>354</v>
      </c>
      <c r="F9" s="5" t="s">
        <v>1148</v>
      </c>
      <c r="G9" s="5" t="s">
        <v>385</v>
      </c>
      <c r="H9" s="149">
        <f t="shared" si="0"/>
        <v>-0.21739130434782608</v>
      </c>
      <c r="I9" s="150">
        <f t="shared" si="1"/>
        <v>-10</v>
      </c>
      <c r="J9" s="4">
        <v>36</v>
      </c>
      <c r="K9" s="4">
        <v>46</v>
      </c>
      <c r="L9" s="4">
        <v>30</v>
      </c>
      <c r="M9" s="4">
        <v>30</v>
      </c>
      <c r="N9" s="4">
        <v>42</v>
      </c>
      <c r="O9" s="4">
        <v>57</v>
      </c>
      <c r="P9" s="4">
        <v>63</v>
      </c>
      <c r="Q9" s="4">
        <v>66</v>
      </c>
      <c r="R9" s="4">
        <v>66</v>
      </c>
      <c r="S9" s="71">
        <v>54</v>
      </c>
    </row>
    <row r="10" spans="1:19">
      <c r="A10" s="5" t="s">
        <v>356</v>
      </c>
      <c r="B10" s="5" t="s">
        <v>354</v>
      </c>
      <c r="C10" s="67">
        <v>1057603</v>
      </c>
      <c r="D10" s="70" t="s">
        <v>384</v>
      </c>
      <c r="E10" s="5" t="s">
        <v>383</v>
      </c>
      <c r="F10" s="5" t="s">
        <v>1148</v>
      </c>
      <c r="G10" s="5" t="s">
        <v>3</v>
      </c>
      <c r="H10" s="58">
        <f t="shared" si="0"/>
        <v>0</v>
      </c>
      <c r="I10" s="59">
        <f t="shared" si="1"/>
        <v>0</v>
      </c>
      <c r="J10" s="4">
        <v>45</v>
      </c>
      <c r="K10" s="4">
        <v>45</v>
      </c>
      <c r="L10" s="4">
        <v>45</v>
      </c>
      <c r="M10" s="4">
        <v>47</v>
      </c>
      <c r="N10" s="4">
        <v>47</v>
      </c>
      <c r="O10" s="4">
        <v>52</v>
      </c>
      <c r="P10" s="4">
        <v>45</v>
      </c>
      <c r="Q10" s="4">
        <v>45</v>
      </c>
      <c r="R10" s="4">
        <v>50</v>
      </c>
      <c r="S10" s="71">
        <v>42</v>
      </c>
    </row>
    <row r="11" spans="1:19">
      <c r="A11" s="5" t="s">
        <v>356</v>
      </c>
      <c r="B11" s="5" t="s">
        <v>354</v>
      </c>
      <c r="C11" s="67">
        <v>1057611</v>
      </c>
      <c r="D11" s="70" t="s">
        <v>25</v>
      </c>
      <c r="E11" s="5" t="s">
        <v>382</v>
      </c>
      <c r="F11" s="5" t="s">
        <v>1148</v>
      </c>
      <c r="G11" s="5" t="s">
        <v>381</v>
      </c>
      <c r="H11" s="17">
        <f t="shared" si="0"/>
        <v>5.6074766355140186E-2</v>
      </c>
      <c r="I11" s="5">
        <f t="shared" si="1"/>
        <v>18</v>
      </c>
      <c r="J11" s="4">
        <v>339</v>
      </c>
      <c r="K11" s="4">
        <v>321</v>
      </c>
      <c r="L11" s="4">
        <v>344</v>
      </c>
      <c r="M11" s="4">
        <v>348</v>
      </c>
      <c r="N11" s="4">
        <v>352</v>
      </c>
      <c r="O11" s="4">
        <v>361</v>
      </c>
      <c r="P11" s="4">
        <v>338</v>
      </c>
      <c r="Q11" s="4">
        <v>353</v>
      </c>
      <c r="R11" s="4">
        <v>319</v>
      </c>
      <c r="S11" s="71">
        <v>314</v>
      </c>
    </row>
    <row r="12" spans="1:19">
      <c r="A12" s="5" t="s">
        <v>356</v>
      </c>
      <c r="B12" s="5" t="s">
        <v>354</v>
      </c>
      <c r="C12" s="67">
        <v>1057868</v>
      </c>
      <c r="D12" s="70" t="s">
        <v>55</v>
      </c>
      <c r="E12" s="5" t="s">
        <v>364</v>
      </c>
      <c r="F12" s="5" t="s">
        <v>1148</v>
      </c>
      <c r="G12" s="5" t="s">
        <v>3</v>
      </c>
      <c r="H12" s="174">
        <f t="shared" si="0"/>
        <v>0.16666666666666666</v>
      </c>
      <c r="I12" s="173">
        <f t="shared" si="1"/>
        <v>5</v>
      </c>
      <c r="J12" s="4">
        <v>35</v>
      </c>
      <c r="K12" s="4">
        <v>30</v>
      </c>
      <c r="L12" s="4">
        <v>30</v>
      </c>
      <c r="M12" s="4">
        <v>35</v>
      </c>
      <c r="N12" s="4">
        <v>35</v>
      </c>
      <c r="O12" s="4">
        <v>35</v>
      </c>
      <c r="P12" s="4">
        <v>33</v>
      </c>
      <c r="Q12" s="4">
        <v>82</v>
      </c>
      <c r="R12" s="4">
        <v>83</v>
      </c>
      <c r="S12" s="71">
        <v>87</v>
      </c>
    </row>
    <row r="13" spans="1:19">
      <c r="A13" s="5" t="s">
        <v>356</v>
      </c>
      <c r="B13" s="5" t="s">
        <v>354</v>
      </c>
      <c r="C13" s="67">
        <v>1057405</v>
      </c>
      <c r="D13" s="70" t="s">
        <v>25</v>
      </c>
      <c r="E13" s="5" t="s">
        <v>380</v>
      </c>
      <c r="F13" s="5" t="s">
        <v>1148</v>
      </c>
      <c r="G13" s="5" t="s">
        <v>379</v>
      </c>
      <c r="H13" s="17">
        <f t="shared" si="0"/>
        <v>0.04</v>
      </c>
      <c r="I13" s="5">
        <f t="shared" si="1"/>
        <v>10</v>
      </c>
      <c r="J13" s="4">
        <v>260</v>
      </c>
      <c r="K13" s="4">
        <v>250</v>
      </c>
      <c r="L13" s="4">
        <v>190</v>
      </c>
      <c r="M13" s="4">
        <v>190</v>
      </c>
      <c r="N13" s="4">
        <v>190</v>
      </c>
      <c r="O13" s="4">
        <v>200</v>
      </c>
      <c r="P13" s="4">
        <v>160</v>
      </c>
      <c r="Q13" s="4">
        <v>150</v>
      </c>
      <c r="R13" s="4">
        <v>190</v>
      </c>
      <c r="S13" s="71">
        <v>175</v>
      </c>
    </row>
    <row r="14" spans="1:19">
      <c r="A14" s="5" t="s">
        <v>356</v>
      </c>
      <c r="B14" s="5" t="s">
        <v>354</v>
      </c>
      <c r="C14" s="67">
        <v>1058007</v>
      </c>
      <c r="D14" s="70" t="s">
        <v>378</v>
      </c>
      <c r="E14" s="5" t="s">
        <v>364</v>
      </c>
      <c r="F14" s="5" t="s">
        <v>1148</v>
      </c>
      <c r="G14" s="5" t="s">
        <v>377</v>
      </c>
      <c r="H14" s="17">
        <f t="shared" si="0"/>
        <v>2.5000000000000001E-2</v>
      </c>
      <c r="I14" s="5">
        <f t="shared" si="1"/>
        <v>1</v>
      </c>
      <c r="J14" s="4">
        <v>41</v>
      </c>
      <c r="K14" s="4">
        <v>40</v>
      </c>
      <c r="L14" s="4">
        <v>40</v>
      </c>
      <c r="M14" s="4">
        <v>38</v>
      </c>
      <c r="N14" s="4">
        <v>40</v>
      </c>
      <c r="O14" s="4">
        <v>37</v>
      </c>
      <c r="P14" s="4">
        <v>30</v>
      </c>
      <c r="Q14" s="4">
        <v>25</v>
      </c>
      <c r="R14" s="4">
        <v>23</v>
      </c>
      <c r="S14" s="71">
        <v>34</v>
      </c>
    </row>
    <row r="15" spans="1:19">
      <c r="A15" s="5" t="s">
        <v>356</v>
      </c>
      <c r="B15" s="5" t="s">
        <v>354</v>
      </c>
      <c r="C15" s="67">
        <v>1747914</v>
      </c>
      <c r="D15" s="70" t="s">
        <v>376</v>
      </c>
      <c r="E15" s="5" t="s">
        <v>375</v>
      </c>
      <c r="F15" s="5" t="s">
        <v>1149</v>
      </c>
      <c r="G15" s="5" t="s">
        <v>374</v>
      </c>
      <c r="H15" s="17" t="s">
        <v>1154</v>
      </c>
      <c r="I15" s="5">
        <f t="shared" si="1"/>
        <v>0</v>
      </c>
      <c r="J15" s="4">
        <v>0</v>
      </c>
      <c r="K15" s="4">
        <v>0</v>
      </c>
      <c r="L15" s="49"/>
      <c r="M15" s="49"/>
      <c r="N15" s="49"/>
      <c r="O15" s="49"/>
      <c r="P15" s="49"/>
      <c r="Q15" s="49"/>
      <c r="R15" s="49"/>
      <c r="S15" s="50"/>
    </row>
    <row r="16" spans="1:19">
      <c r="A16" s="5" t="s">
        <v>356</v>
      </c>
      <c r="B16" s="5" t="s">
        <v>354</v>
      </c>
      <c r="C16" s="67">
        <v>1102060</v>
      </c>
      <c r="D16" s="70" t="s">
        <v>373</v>
      </c>
      <c r="E16" s="5" t="s">
        <v>354</v>
      </c>
      <c r="F16" s="5" t="s">
        <v>1148</v>
      </c>
      <c r="G16" s="5" t="s">
        <v>372</v>
      </c>
      <c r="H16" s="149">
        <f t="shared" si="0"/>
        <v>-5.8823529411764705E-2</v>
      </c>
      <c r="I16" s="150">
        <f t="shared" si="1"/>
        <v>-10</v>
      </c>
      <c r="J16" s="4">
        <v>160</v>
      </c>
      <c r="K16" s="4">
        <v>170</v>
      </c>
      <c r="L16" s="4">
        <v>165</v>
      </c>
      <c r="M16" s="4">
        <v>150</v>
      </c>
      <c r="N16" s="4">
        <v>165</v>
      </c>
      <c r="O16" s="4">
        <v>165</v>
      </c>
      <c r="P16" s="4">
        <v>155</v>
      </c>
      <c r="Q16" s="4">
        <v>110</v>
      </c>
      <c r="R16" s="4">
        <v>175</v>
      </c>
      <c r="S16" s="71">
        <v>200</v>
      </c>
    </row>
    <row r="17" spans="1:19">
      <c r="A17" s="5" t="s">
        <v>356</v>
      </c>
      <c r="B17" s="5" t="s">
        <v>354</v>
      </c>
      <c r="C17" s="67">
        <v>1128255</v>
      </c>
      <c r="D17" s="70" t="s">
        <v>371</v>
      </c>
      <c r="E17" s="5" t="s">
        <v>361</v>
      </c>
      <c r="F17" s="5" t="s">
        <v>1147</v>
      </c>
      <c r="G17" s="5" t="s">
        <v>370</v>
      </c>
      <c r="H17" s="58">
        <f t="shared" si="0"/>
        <v>0</v>
      </c>
      <c r="I17" s="59">
        <f t="shared" si="1"/>
        <v>0</v>
      </c>
      <c r="J17" s="4">
        <v>60</v>
      </c>
      <c r="K17" s="4">
        <v>60</v>
      </c>
      <c r="L17" s="4">
        <v>65</v>
      </c>
      <c r="M17" s="4">
        <v>65</v>
      </c>
      <c r="N17" s="4">
        <v>65</v>
      </c>
      <c r="O17" s="4">
        <v>70</v>
      </c>
      <c r="P17" s="4">
        <v>70</v>
      </c>
      <c r="Q17" s="4">
        <v>65</v>
      </c>
      <c r="R17" s="4">
        <v>100</v>
      </c>
      <c r="S17" s="71">
        <v>100</v>
      </c>
    </row>
    <row r="18" spans="1:19">
      <c r="A18" s="5" t="s">
        <v>356</v>
      </c>
      <c r="B18" s="5" t="s">
        <v>354</v>
      </c>
      <c r="C18" s="67">
        <v>1145994</v>
      </c>
      <c r="D18" s="70" t="s">
        <v>369</v>
      </c>
      <c r="E18" s="5" t="s">
        <v>354</v>
      </c>
      <c r="F18" s="5" t="s">
        <v>1147</v>
      </c>
      <c r="G18" s="5" t="s">
        <v>3</v>
      </c>
      <c r="H18" s="58">
        <f t="shared" si="0"/>
        <v>0</v>
      </c>
      <c r="I18" s="59">
        <f t="shared" si="1"/>
        <v>0</v>
      </c>
      <c r="J18" s="4">
        <v>75</v>
      </c>
      <c r="K18" s="4">
        <v>75</v>
      </c>
      <c r="L18" s="4">
        <v>75</v>
      </c>
      <c r="M18" s="4">
        <v>120</v>
      </c>
      <c r="N18" s="4">
        <v>95</v>
      </c>
      <c r="O18" s="4">
        <v>75</v>
      </c>
      <c r="P18" s="4">
        <v>85</v>
      </c>
      <c r="Q18" s="4">
        <v>99</v>
      </c>
      <c r="R18" s="4">
        <v>45</v>
      </c>
      <c r="S18" s="71">
        <v>42</v>
      </c>
    </row>
    <row r="19" spans="1:19">
      <c r="A19" s="5" t="s">
        <v>356</v>
      </c>
      <c r="B19" s="5" t="s">
        <v>354</v>
      </c>
      <c r="C19" s="67">
        <v>1180819</v>
      </c>
      <c r="D19" s="70" t="s">
        <v>368</v>
      </c>
      <c r="E19" s="5" t="s">
        <v>361</v>
      </c>
      <c r="F19" s="5" t="s">
        <v>1148</v>
      </c>
      <c r="G19" s="5" t="s">
        <v>367</v>
      </c>
      <c r="H19" s="58">
        <f t="shared" si="0"/>
        <v>0</v>
      </c>
      <c r="I19" s="59">
        <f t="shared" si="1"/>
        <v>0</v>
      </c>
      <c r="J19" s="4">
        <v>275</v>
      </c>
      <c r="K19" s="4">
        <v>275</v>
      </c>
      <c r="L19" s="4">
        <v>275</v>
      </c>
      <c r="M19" s="4">
        <v>250</v>
      </c>
      <c r="N19" s="4">
        <v>200</v>
      </c>
      <c r="O19" s="4">
        <v>195</v>
      </c>
      <c r="P19" s="4">
        <v>135</v>
      </c>
      <c r="Q19" s="4">
        <v>180</v>
      </c>
      <c r="R19" s="49"/>
      <c r="S19" s="50"/>
    </row>
    <row r="20" spans="1:19">
      <c r="A20" s="5" t="s">
        <v>356</v>
      </c>
      <c r="B20" s="5" t="s">
        <v>354</v>
      </c>
      <c r="C20" s="67">
        <v>1281302</v>
      </c>
      <c r="D20" s="70" t="s">
        <v>366</v>
      </c>
      <c r="E20" s="5" t="s">
        <v>354</v>
      </c>
      <c r="F20" s="5" t="s">
        <v>1148</v>
      </c>
      <c r="G20" s="5" t="s">
        <v>3</v>
      </c>
      <c r="H20" s="174">
        <f t="shared" si="0"/>
        <v>0.25</v>
      </c>
      <c r="I20" s="173">
        <f t="shared" si="1"/>
        <v>100</v>
      </c>
      <c r="J20" s="148">
        <v>500</v>
      </c>
      <c r="K20" s="4">
        <v>400</v>
      </c>
      <c r="L20" s="4">
        <v>250</v>
      </c>
      <c r="M20" s="4">
        <v>155</v>
      </c>
      <c r="N20" s="4">
        <v>0</v>
      </c>
      <c r="O20" s="49"/>
      <c r="P20" s="49"/>
      <c r="Q20" s="49"/>
      <c r="R20" s="49"/>
      <c r="S20" s="50"/>
    </row>
    <row r="21" spans="1:19">
      <c r="A21" s="5" t="s">
        <v>356</v>
      </c>
      <c r="B21" s="5" t="s">
        <v>354</v>
      </c>
      <c r="C21" s="67">
        <v>1346303</v>
      </c>
      <c r="D21" s="70" t="s">
        <v>365</v>
      </c>
      <c r="E21" s="5" t="s">
        <v>364</v>
      </c>
      <c r="F21" s="5" t="s">
        <v>1147</v>
      </c>
      <c r="G21" s="5" t="s">
        <v>363</v>
      </c>
      <c r="H21" s="58">
        <f t="shared" si="0"/>
        <v>0</v>
      </c>
      <c r="I21" s="59">
        <f t="shared" si="1"/>
        <v>0</v>
      </c>
      <c r="J21" s="4">
        <v>60</v>
      </c>
      <c r="K21" s="4">
        <v>60</v>
      </c>
      <c r="L21" s="4">
        <v>60</v>
      </c>
      <c r="M21" s="4">
        <v>70</v>
      </c>
      <c r="N21" s="4">
        <v>0</v>
      </c>
      <c r="O21" s="49"/>
      <c r="P21" s="49"/>
      <c r="Q21" s="49"/>
      <c r="R21" s="49"/>
      <c r="S21" s="50"/>
    </row>
    <row r="22" spans="1:19">
      <c r="A22" s="5" t="s">
        <v>356</v>
      </c>
      <c r="B22" s="5" t="s">
        <v>354</v>
      </c>
      <c r="C22" s="67">
        <v>1689819</v>
      </c>
      <c r="D22" s="70" t="s">
        <v>362</v>
      </c>
      <c r="E22" s="5" t="s">
        <v>361</v>
      </c>
      <c r="F22" s="5" t="s">
        <v>1149</v>
      </c>
      <c r="G22" s="5" t="s">
        <v>360</v>
      </c>
      <c r="H22" s="17" t="s">
        <v>1154</v>
      </c>
      <c r="I22" s="5">
        <f t="shared" si="1"/>
        <v>0</v>
      </c>
      <c r="J22" s="4">
        <v>0</v>
      </c>
      <c r="K22" s="4">
        <v>0</v>
      </c>
      <c r="L22" s="4">
        <v>0</v>
      </c>
      <c r="M22" s="49"/>
      <c r="N22" s="49"/>
      <c r="O22" s="49"/>
      <c r="P22" s="49"/>
      <c r="Q22" s="49"/>
      <c r="R22" s="49"/>
      <c r="S22" s="50"/>
    </row>
    <row r="23" spans="1:19">
      <c r="A23" s="5" t="s">
        <v>356</v>
      </c>
      <c r="B23" s="5" t="s">
        <v>354</v>
      </c>
      <c r="C23" s="67">
        <v>1700764</v>
      </c>
      <c r="D23" s="70" t="s">
        <v>359</v>
      </c>
      <c r="E23" s="5" t="s">
        <v>358</v>
      </c>
      <c r="F23" s="5" t="s">
        <v>1147</v>
      </c>
      <c r="G23" s="5" t="s">
        <v>357</v>
      </c>
      <c r="H23" s="147">
        <f t="shared" si="0"/>
        <v>2.75</v>
      </c>
      <c r="I23" s="173">
        <f t="shared" si="1"/>
        <v>110</v>
      </c>
      <c r="J23" s="4">
        <v>150</v>
      </c>
      <c r="K23" s="4">
        <v>40</v>
      </c>
      <c r="L23" s="49"/>
      <c r="M23" s="49"/>
      <c r="N23" s="49"/>
      <c r="O23" s="49"/>
      <c r="P23" s="49"/>
      <c r="Q23" s="49"/>
      <c r="R23" s="49"/>
      <c r="S23" s="50"/>
    </row>
    <row r="24" spans="1:19">
      <c r="A24" s="5" t="s">
        <v>356</v>
      </c>
      <c r="B24" s="5" t="s">
        <v>354</v>
      </c>
      <c r="C24" s="67">
        <v>1057959</v>
      </c>
      <c r="D24" s="70" t="s">
        <v>355</v>
      </c>
      <c r="E24" s="5" t="s">
        <v>354</v>
      </c>
      <c r="F24" s="5" t="s">
        <v>1149</v>
      </c>
      <c r="G24" s="5" t="s">
        <v>353</v>
      </c>
      <c r="H24" s="17" t="s">
        <v>1154</v>
      </c>
      <c r="I24" s="5">
        <f t="shared" si="1"/>
        <v>0</v>
      </c>
      <c r="J24" s="54">
        <v>0</v>
      </c>
      <c r="K24" s="54">
        <v>0</v>
      </c>
      <c r="L24" s="54">
        <v>0</v>
      </c>
      <c r="M24" s="54">
        <v>130</v>
      </c>
      <c r="N24" s="54">
        <v>138</v>
      </c>
      <c r="O24" s="54">
        <v>138</v>
      </c>
      <c r="P24" s="54">
        <v>330</v>
      </c>
      <c r="Q24" s="54">
        <v>80</v>
      </c>
      <c r="R24" s="54">
        <v>200</v>
      </c>
      <c r="S24" s="145">
        <v>180</v>
      </c>
    </row>
    <row r="25" spans="1:19" ht="15" thickBot="1">
      <c r="D25" s="72" t="str">
        <f>"Church Count: "&amp;COUNTA(D5:D24)</f>
        <v>Church Count: 20</v>
      </c>
      <c r="E25" s="49"/>
      <c r="F25" s="49"/>
      <c r="G25" s="151" t="s">
        <v>1207</v>
      </c>
      <c r="H25" s="49"/>
      <c r="I25" s="49"/>
      <c r="J25" s="197">
        <f t="shared" ref="J25:S25" si="2">SUM(J5:J24)</f>
        <v>2511</v>
      </c>
      <c r="K25" s="197">
        <f t="shared" si="2"/>
        <v>2294</v>
      </c>
      <c r="L25" s="197">
        <f t="shared" si="2"/>
        <v>2058</v>
      </c>
      <c r="M25" s="197">
        <f t="shared" si="2"/>
        <v>2085</v>
      </c>
      <c r="N25" s="197">
        <f t="shared" si="2"/>
        <v>1785</v>
      </c>
      <c r="O25" s="197">
        <f t="shared" si="2"/>
        <v>1772</v>
      </c>
      <c r="P25" s="197">
        <f t="shared" si="2"/>
        <v>1812</v>
      </c>
      <c r="Q25" s="197">
        <f t="shared" si="2"/>
        <v>1714</v>
      </c>
      <c r="R25" s="197">
        <f t="shared" si="2"/>
        <v>1798</v>
      </c>
      <c r="S25" s="198">
        <f t="shared" si="2"/>
        <v>1797</v>
      </c>
    </row>
    <row r="26" spans="1:19" ht="15" thickTop="1">
      <c r="D26" s="152" t="s">
        <v>1180</v>
      </c>
      <c r="E26" s="49"/>
      <c r="F26" s="49"/>
      <c r="G26" s="151" t="s">
        <v>1208</v>
      </c>
      <c r="H26" s="49"/>
      <c r="I26" s="49"/>
      <c r="J26" s="49">
        <f>J25-K25</f>
        <v>217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53" t="s">
        <v>1181</v>
      </c>
      <c r="E27" s="146"/>
      <c r="F27" s="146"/>
      <c r="G27" s="151" t="s">
        <v>1209</v>
      </c>
      <c r="H27" s="49"/>
      <c r="I27" s="49"/>
      <c r="J27" s="169">
        <f>(J25-K25)/ABS(K25)</f>
        <v>9.45945945945946E-2</v>
      </c>
      <c r="K27" s="49"/>
      <c r="L27" s="49"/>
      <c r="M27" s="49"/>
      <c r="N27" s="49"/>
      <c r="O27" s="49"/>
      <c r="P27" s="49"/>
      <c r="Q27" s="49"/>
      <c r="R27" s="49"/>
      <c r="S27" s="50"/>
    </row>
    <row r="28" spans="1:19">
      <c r="D28" s="170" t="s">
        <v>1210</v>
      </c>
      <c r="E28" s="49"/>
      <c r="F28" s="49"/>
      <c r="G28" s="218" t="s">
        <v>1219</v>
      </c>
      <c r="H28" s="49"/>
      <c r="I28" s="49"/>
      <c r="J28" s="222">
        <f>J25-S25</f>
        <v>714</v>
      </c>
      <c r="K28" s="49"/>
      <c r="L28" s="49"/>
      <c r="M28" s="49"/>
      <c r="N28" s="49"/>
      <c r="O28" s="49"/>
      <c r="P28" s="49"/>
      <c r="Q28" s="49"/>
      <c r="R28" s="49"/>
      <c r="S28" s="50"/>
    </row>
    <row r="29" spans="1:19">
      <c r="D29" s="154" t="s">
        <v>1182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2"/>
    </row>
  </sheetData>
  <mergeCells count="1">
    <mergeCell ref="D1:S1"/>
  </mergeCells>
  <printOptions horizontalCentered="1"/>
  <pageMargins left="0.7" right="0.7" top="0.75" bottom="0.75" header="0.3" footer="0.3"/>
  <pageSetup scale="76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enableFormatConditionsCalculation="0">
    <pageSetUpPr fitToPage="1"/>
  </sheetPr>
  <dimension ref="A1:S30"/>
  <sheetViews>
    <sheetView topLeftCell="E1" workbookViewId="0">
      <selection activeCell="J29" sqref="J29"/>
    </sheetView>
  </sheetViews>
  <sheetFormatPr baseColWidth="10" defaultColWidth="8.83203125" defaultRowHeight="14" x14ac:dyDescent="0"/>
  <cols>
    <col min="1" max="1" width="7.5" style="3" hidden="1" customWidth="1"/>
    <col min="2" max="2" width="9.83203125" style="3" hidden="1" customWidth="1"/>
    <col min="3" max="3" width="8.1640625" style="3" hidden="1" customWidth="1"/>
    <col min="4" max="4" width="43.5" style="3" bestFit="1" customWidth="1"/>
    <col min="5" max="5" width="12.5" style="3" bestFit="1" customWidth="1"/>
    <col min="6" max="6" width="10" style="3" bestFit="1" customWidth="1"/>
    <col min="7" max="7" width="21.5" style="3" bestFit="1" customWidth="1"/>
    <col min="8" max="8" width="7.83203125" style="3" bestFit="1" customWidth="1"/>
    <col min="9" max="9" width="7.5" style="3" bestFit="1" customWidth="1"/>
    <col min="10" max="13" width="8" style="3" bestFit="1" customWidth="1"/>
    <col min="14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Mid Cities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356</v>
      </c>
      <c r="B5" s="5" t="s">
        <v>395</v>
      </c>
      <c r="C5" s="67">
        <v>1680420</v>
      </c>
      <c r="D5" s="70" t="s">
        <v>432</v>
      </c>
      <c r="E5" s="5" t="s">
        <v>397</v>
      </c>
      <c r="F5" s="5" t="s">
        <v>1147</v>
      </c>
      <c r="G5" s="5" t="s">
        <v>431</v>
      </c>
      <c r="H5" s="17" t="s">
        <v>1154</v>
      </c>
      <c r="I5" s="5">
        <f>J5-K5</f>
        <v>80</v>
      </c>
      <c r="J5" s="4">
        <v>80</v>
      </c>
      <c r="K5" s="4">
        <v>0</v>
      </c>
      <c r="L5" s="4">
        <v>0</v>
      </c>
      <c r="M5" s="49"/>
      <c r="N5" s="49"/>
      <c r="O5" s="49"/>
      <c r="P5" s="49"/>
      <c r="Q5" s="49"/>
      <c r="R5" s="49"/>
      <c r="S5" s="50"/>
    </row>
    <row r="6" spans="1:19">
      <c r="A6" s="5" t="s">
        <v>356</v>
      </c>
      <c r="B6" s="5" t="s">
        <v>395</v>
      </c>
      <c r="C6" s="67">
        <v>1060078</v>
      </c>
      <c r="D6" s="70" t="s">
        <v>430</v>
      </c>
      <c r="E6" s="5" t="s">
        <v>21</v>
      </c>
      <c r="F6" s="5" t="s">
        <v>1148</v>
      </c>
      <c r="G6" s="5" t="s">
        <v>3</v>
      </c>
      <c r="H6" s="58">
        <f t="shared" ref="H6:H25" si="0">(J6-K6)/ABS(K6)</f>
        <v>0</v>
      </c>
      <c r="I6" s="59">
        <f t="shared" ref="I6:I25" si="1">J6-K6</f>
        <v>0</v>
      </c>
      <c r="J6" s="4">
        <v>25</v>
      </c>
      <c r="K6" s="4">
        <v>25</v>
      </c>
      <c r="L6" s="4">
        <v>45</v>
      </c>
      <c r="M6" s="4">
        <v>90</v>
      </c>
      <c r="N6" s="4">
        <v>75</v>
      </c>
      <c r="O6" s="4">
        <v>90</v>
      </c>
      <c r="P6" s="4">
        <v>90</v>
      </c>
      <c r="Q6" s="4">
        <v>75</v>
      </c>
      <c r="R6" s="4">
        <v>85</v>
      </c>
      <c r="S6" s="71">
        <v>75</v>
      </c>
    </row>
    <row r="7" spans="1:19">
      <c r="A7" s="5" t="s">
        <v>356</v>
      </c>
      <c r="B7" s="5" t="s">
        <v>395</v>
      </c>
      <c r="C7" s="67">
        <v>1060086</v>
      </c>
      <c r="D7" s="70" t="s">
        <v>429</v>
      </c>
      <c r="E7" s="5" t="s">
        <v>21</v>
      </c>
      <c r="F7" s="5" t="s">
        <v>1148</v>
      </c>
      <c r="G7" s="5" t="s">
        <v>428</v>
      </c>
      <c r="H7" s="149">
        <f t="shared" si="0"/>
        <v>-0.13636363636363635</v>
      </c>
      <c r="I7" s="150">
        <f t="shared" si="1"/>
        <v>-6</v>
      </c>
      <c r="J7" s="4">
        <v>38</v>
      </c>
      <c r="K7" s="4">
        <v>44</v>
      </c>
      <c r="L7" s="4">
        <v>44</v>
      </c>
      <c r="M7" s="4">
        <v>45</v>
      </c>
      <c r="N7" s="4">
        <v>55</v>
      </c>
      <c r="O7" s="4">
        <v>50</v>
      </c>
      <c r="P7" s="4">
        <v>50</v>
      </c>
      <c r="Q7" s="4">
        <v>47</v>
      </c>
      <c r="R7" s="4">
        <v>47</v>
      </c>
      <c r="S7" s="71">
        <v>49</v>
      </c>
    </row>
    <row r="8" spans="1:19">
      <c r="A8" s="5" t="s">
        <v>356</v>
      </c>
      <c r="B8" s="5" t="s">
        <v>395</v>
      </c>
      <c r="C8" s="67">
        <v>1060979</v>
      </c>
      <c r="D8" s="70" t="s">
        <v>139</v>
      </c>
      <c r="E8" s="5" t="s">
        <v>21</v>
      </c>
      <c r="F8" s="5" t="s">
        <v>1148</v>
      </c>
      <c r="G8" s="5" t="s">
        <v>427</v>
      </c>
      <c r="H8" s="17">
        <f t="shared" si="0"/>
        <v>8.0357142857142863E-2</v>
      </c>
      <c r="I8" s="5">
        <f t="shared" si="1"/>
        <v>9</v>
      </c>
      <c r="J8" s="4">
        <v>121</v>
      </c>
      <c r="K8" s="4">
        <v>112</v>
      </c>
      <c r="L8" s="4">
        <v>110</v>
      </c>
      <c r="M8" s="4">
        <v>109</v>
      </c>
      <c r="N8" s="4">
        <v>140</v>
      </c>
      <c r="O8" s="4">
        <v>140</v>
      </c>
      <c r="P8" s="4">
        <v>140</v>
      </c>
      <c r="Q8" s="4">
        <v>130</v>
      </c>
      <c r="R8" s="4">
        <v>140</v>
      </c>
      <c r="S8" s="71">
        <v>140</v>
      </c>
    </row>
    <row r="9" spans="1:19" ht="15" thickBot="1">
      <c r="A9" s="5" t="s">
        <v>356</v>
      </c>
      <c r="B9" s="5" t="s">
        <v>395</v>
      </c>
      <c r="C9" s="67">
        <v>1089895</v>
      </c>
      <c r="D9" s="70" t="s">
        <v>426</v>
      </c>
      <c r="E9" s="5" t="s">
        <v>11</v>
      </c>
      <c r="F9" s="5" t="s">
        <v>1148</v>
      </c>
      <c r="G9" s="5" t="s">
        <v>425</v>
      </c>
      <c r="H9" s="149">
        <f t="shared" si="0"/>
        <v>-0.23834196891191708</v>
      </c>
      <c r="I9" s="150">
        <f t="shared" si="1"/>
        <v>-46</v>
      </c>
      <c r="J9" s="54">
        <v>147</v>
      </c>
      <c r="K9" s="4">
        <v>193</v>
      </c>
      <c r="L9" s="4">
        <v>161</v>
      </c>
      <c r="M9" s="4">
        <v>144</v>
      </c>
      <c r="N9" s="4">
        <v>137</v>
      </c>
      <c r="O9" s="4">
        <v>147</v>
      </c>
      <c r="P9" s="4">
        <v>170</v>
      </c>
      <c r="Q9" s="4">
        <v>200</v>
      </c>
      <c r="R9" s="4">
        <v>216</v>
      </c>
      <c r="S9" s="71">
        <v>232</v>
      </c>
    </row>
    <row r="10" spans="1:19" ht="15" thickBot="1">
      <c r="A10" s="5" t="s">
        <v>356</v>
      </c>
      <c r="B10" s="5" t="s">
        <v>395</v>
      </c>
      <c r="C10" s="67">
        <v>1094051</v>
      </c>
      <c r="D10" s="178" t="s">
        <v>424</v>
      </c>
      <c r="E10" s="179" t="s">
        <v>409</v>
      </c>
      <c r="F10" s="179" t="s">
        <v>1148</v>
      </c>
      <c r="G10" s="179" t="s">
        <v>423</v>
      </c>
      <c r="H10" s="180">
        <f t="shared" si="0"/>
        <v>5.705414321754318E-2</v>
      </c>
      <c r="I10" s="181">
        <f t="shared" si="1"/>
        <v>294</v>
      </c>
      <c r="J10" s="185">
        <v>5447</v>
      </c>
      <c r="K10" s="182">
        <v>5153</v>
      </c>
      <c r="L10" s="183">
        <v>4251</v>
      </c>
      <c r="M10" s="183">
        <v>3958</v>
      </c>
      <c r="N10" s="183">
        <v>3507</v>
      </c>
      <c r="O10" s="183">
        <v>2685</v>
      </c>
      <c r="P10" s="183">
        <v>2304</v>
      </c>
      <c r="Q10" s="183">
        <v>2113</v>
      </c>
      <c r="R10" s="183">
        <v>2109</v>
      </c>
      <c r="S10" s="184">
        <v>2139</v>
      </c>
    </row>
    <row r="11" spans="1:19">
      <c r="A11" s="5" t="s">
        <v>356</v>
      </c>
      <c r="B11" s="5" t="s">
        <v>395</v>
      </c>
      <c r="C11" s="67">
        <v>1106590</v>
      </c>
      <c r="D11" s="70" t="s">
        <v>422</v>
      </c>
      <c r="E11" s="5" t="s">
        <v>21</v>
      </c>
      <c r="F11" s="5" t="s">
        <v>1147</v>
      </c>
      <c r="G11" s="5" t="s">
        <v>421</v>
      </c>
      <c r="H11" s="174">
        <f t="shared" si="0"/>
        <v>0.1111111111111111</v>
      </c>
      <c r="I11" s="173">
        <f t="shared" si="1"/>
        <v>10</v>
      </c>
      <c r="J11" s="64">
        <v>100</v>
      </c>
      <c r="K11" s="4">
        <v>90</v>
      </c>
      <c r="L11" s="4">
        <v>110</v>
      </c>
      <c r="M11" s="4">
        <v>125</v>
      </c>
      <c r="N11" s="4">
        <v>85</v>
      </c>
      <c r="O11" s="4">
        <v>55</v>
      </c>
      <c r="P11" s="4">
        <v>65</v>
      </c>
      <c r="Q11" s="4">
        <v>61</v>
      </c>
      <c r="R11" s="4">
        <v>52</v>
      </c>
      <c r="S11" s="71">
        <v>35</v>
      </c>
    </row>
    <row r="12" spans="1:19">
      <c r="A12" s="5" t="s">
        <v>356</v>
      </c>
      <c r="B12" s="5" t="s">
        <v>395</v>
      </c>
      <c r="C12" s="67">
        <v>1142124</v>
      </c>
      <c r="D12" s="70" t="s">
        <v>398</v>
      </c>
      <c r="E12" s="5" t="s">
        <v>21</v>
      </c>
      <c r="F12" s="5" t="s">
        <v>1148</v>
      </c>
      <c r="G12" s="5" t="s">
        <v>396</v>
      </c>
      <c r="H12" s="58">
        <f t="shared" si="0"/>
        <v>0</v>
      </c>
      <c r="I12" s="59">
        <f t="shared" si="1"/>
        <v>0</v>
      </c>
      <c r="J12" s="4">
        <v>400</v>
      </c>
      <c r="K12" s="4">
        <v>400</v>
      </c>
      <c r="L12" s="4">
        <v>400</v>
      </c>
      <c r="M12" s="4">
        <v>400</v>
      </c>
      <c r="N12" s="4">
        <v>425</v>
      </c>
      <c r="O12" s="4">
        <v>365</v>
      </c>
      <c r="P12" s="4">
        <v>275</v>
      </c>
      <c r="Q12" s="4">
        <v>225</v>
      </c>
      <c r="R12" s="4">
        <v>200</v>
      </c>
      <c r="S12" s="71">
        <v>195</v>
      </c>
    </row>
    <row r="13" spans="1:19">
      <c r="A13" s="5" t="s">
        <v>356</v>
      </c>
      <c r="B13" s="5" t="s">
        <v>395</v>
      </c>
      <c r="C13" s="67">
        <v>1147099</v>
      </c>
      <c r="D13" s="70" t="s">
        <v>420</v>
      </c>
      <c r="E13" s="5" t="s">
        <v>419</v>
      </c>
      <c r="F13" s="5" t="s">
        <v>1147</v>
      </c>
      <c r="G13" s="5" t="s">
        <v>3</v>
      </c>
      <c r="H13" s="58">
        <f t="shared" si="0"/>
        <v>0</v>
      </c>
      <c r="I13" s="59">
        <f t="shared" si="1"/>
        <v>0</v>
      </c>
      <c r="J13" s="4">
        <v>400</v>
      </c>
      <c r="K13" s="4">
        <v>400</v>
      </c>
      <c r="L13" s="4">
        <v>400</v>
      </c>
      <c r="M13" s="4">
        <v>700</v>
      </c>
      <c r="N13" s="4">
        <v>640</v>
      </c>
      <c r="O13" s="4">
        <v>640</v>
      </c>
      <c r="P13" s="4">
        <v>640</v>
      </c>
      <c r="Q13" s="4">
        <v>640</v>
      </c>
      <c r="R13" s="4">
        <v>640</v>
      </c>
      <c r="S13" s="71">
        <v>640</v>
      </c>
    </row>
    <row r="14" spans="1:19">
      <c r="A14" s="5" t="s">
        <v>356</v>
      </c>
      <c r="B14" s="5" t="s">
        <v>395</v>
      </c>
      <c r="C14" s="67">
        <v>1060045</v>
      </c>
      <c r="D14" s="70" t="s">
        <v>418</v>
      </c>
      <c r="E14" s="5" t="s">
        <v>21</v>
      </c>
      <c r="F14" s="5" t="s">
        <v>1148</v>
      </c>
      <c r="G14" s="5" t="s">
        <v>417</v>
      </c>
      <c r="H14" s="17">
        <f t="shared" si="0"/>
        <v>4.1666666666666664E-2</v>
      </c>
      <c r="I14" s="5">
        <f t="shared" si="1"/>
        <v>15</v>
      </c>
      <c r="J14" s="4">
        <v>375</v>
      </c>
      <c r="K14" s="4">
        <v>360</v>
      </c>
      <c r="L14" s="4">
        <v>333</v>
      </c>
      <c r="M14" s="4">
        <v>343</v>
      </c>
      <c r="N14" s="4">
        <v>337</v>
      </c>
      <c r="O14" s="4">
        <v>323</v>
      </c>
      <c r="P14" s="4">
        <v>320</v>
      </c>
      <c r="Q14" s="4">
        <v>288</v>
      </c>
      <c r="R14" s="4">
        <v>250</v>
      </c>
      <c r="S14" s="71">
        <v>127</v>
      </c>
    </row>
    <row r="15" spans="1:19">
      <c r="A15" s="5" t="s">
        <v>356</v>
      </c>
      <c r="B15" s="5" t="s">
        <v>395</v>
      </c>
      <c r="C15" s="67">
        <v>1472547</v>
      </c>
      <c r="D15" s="70" t="s">
        <v>416</v>
      </c>
      <c r="E15" s="5" t="s">
        <v>415</v>
      </c>
      <c r="F15" s="5" t="s">
        <v>1147</v>
      </c>
      <c r="G15" s="5" t="s">
        <v>414</v>
      </c>
      <c r="H15" s="177">
        <f t="shared" si="0"/>
        <v>0.32500000000000001</v>
      </c>
      <c r="I15" s="173">
        <f t="shared" si="1"/>
        <v>65</v>
      </c>
      <c r="J15" s="4">
        <v>265</v>
      </c>
      <c r="K15" s="4">
        <v>200</v>
      </c>
      <c r="L15" s="4">
        <v>195</v>
      </c>
      <c r="M15" s="4">
        <v>0</v>
      </c>
      <c r="N15" s="49"/>
      <c r="O15" s="49"/>
      <c r="P15" s="49"/>
      <c r="Q15" s="49"/>
      <c r="R15" s="49"/>
      <c r="S15" s="50"/>
    </row>
    <row r="16" spans="1:19">
      <c r="A16" s="5" t="s">
        <v>356</v>
      </c>
      <c r="B16" s="5" t="s">
        <v>395</v>
      </c>
      <c r="C16" s="67">
        <v>1057124</v>
      </c>
      <c r="D16" s="70" t="s">
        <v>413</v>
      </c>
      <c r="E16" s="5" t="s">
        <v>409</v>
      </c>
      <c r="F16" s="5" t="s">
        <v>1148</v>
      </c>
      <c r="G16" s="5" t="s">
        <v>412</v>
      </c>
      <c r="H16" s="58">
        <f t="shared" si="0"/>
        <v>0</v>
      </c>
      <c r="I16" s="59">
        <f t="shared" si="1"/>
        <v>0</v>
      </c>
      <c r="J16" s="4">
        <v>90</v>
      </c>
      <c r="K16" s="4">
        <v>90</v>
      </c>
      <c r="L16" s="4">
        <v>100</v>
      </c>
      <c r="M16" s="4">
        <v>150</v>
      </c>
      <c r="N16" s="4">
        <v>290</v>
      </c>
      <c r="O16" s="4">
        <v>400</v>
      </c>
      <c r="P16" s="4">
        <v>400</v>
      </c>
      <c r="Q16" s="4">
        <v>200</v>
      </c>
      <c r="R16" s="4">
        <v>250</v>
      </c>
      <c r="S16" s="71">
        <v>260</v>
      </c>
    </row>
    <row r="17" spans="1:19">
      <c r="A17" s="5" t="s">
        <v>356</v>
      </c>
      <c r="B17" s="5" t="s">
        <v>395</v>
      </c>
      <c r="C17" s="67">
        <v>1702257</v>
      </c>
      <c r="D17" s="70" t="s">
        <v>411</v>
      </c>
      <c r="E17" s="5" t="s">
        <v>409</v>
      </c>
      <c r="F17" s="5" t="s">
        <v>1149</v>
      </c>
      <c r="G17" s="5" t="s">
        <v>408</v>
      </c>
      <c r="H17" s="17" t="s">
        <v>1154</v>
      </c>
      <c r="I17" s="5">
        <f t="shared" si="1"/>
        <v>0</v>
      </c>
      <c r="J17" s="4">
        <v>0</v>
      </c>
      <c r="K17" s="4">
        <v>0</v>
      </c>
      <c r="L17" s="49"/>
      <c r="M17" s="49"/>
      <c r="N17" s="49"/>
      <c r="O17" s="49"/>
      <c r="P17" s="49"/>
      <c r="Q17" s="49"/>
      <c r="R17" s="49"/>
      <c r="S17" s="50"/>
    </row>
    <row r="18" spans="1:19">
      <c r="A18" s="5" t="s">
        <v>356</v>
      </c>
      <c r="B18" s="5" t="s">
        <v>395</v>
      </c>
      <c r="C18" s="67">
        <v>1777515</v>
      </c>
      <c r="D18" s="70" t="s">
        <v>410</v>
      </c>
      <c r="E18" s="5" t="s">
        <v>409</v>
      </c>
      <c r="F18" s="5" t="s">
        <v>1149</v>
      </c>
      <c r="G18" s="5" t="s">
        <v>408</v>
      </c>
      <c r="H18" s="17" t="s">
        <v>1154</v>
      </c>
      <c r="I18" s="5">
        <f t="shared" si="1"/>
        <v>0</v>
      </c>
      <c r="J18" s="4">
        <v>0</v>
      </c>
      <c r="K18" s="49"/>
      <c r="L18" s="49"/>
      <c r="M18" s="49"/>
      <c r="N18" s="49"/>
      <c r="O18" s="49"/>
      <c r="P18" s="49"/>
      <c r="Q18" s="49"/>
      <c r="R18" s="49"/>
      <c r="S18" s="50"/>
    </row>
    <row r="19" spans="1:19">
      <c r="A19" s="5" t="s">
        <v>356</v>
      </c>
      <c r="B19" s="5" t="s">
        <v>395</v>
      </c>
      <c r="C19" s="67">
        <v>1020890</v>
      </c>
      <c r="D19" s="70" t="s">
        <v>45</v>
      </c>
      <c r="E19" s="5" t="s">
        <v>407</v>
      </c>
      <c r="F19" s="5" t="s">
        <v>1148</v>
      </c>
      <c r="G19" s="5" t="s">
        <v>406</v>
      </c>
      <c r="H19" s="149">
        <f t="shared" si="0"/>
        <v>-9.9236641221374045E-2</v>
      </c>
      <c r="I19" s="150">
        <f t="shared" si="1"/>
        <v>-26</v>
      </c>
      <c r="J19" s="4">
        <v>236</v>
      </c>
      <c r="K19" s="4">
        <v>262</v>
      </c>
      <c r="L19" s="4">
        <v>285</v>
      </c>
      <c r="M19" s="4">
        <v>315</v>
      </c>
      <c r="N19" s="4">
        <v>321</v>
      </c>
      <c r="O19" s="4">
        <v>317</v>
      </c>
      <c r="P19" s="4">
        <v>348</v>
      </c>
      <c r="Q19" s="4">
        <v>433</v>
      </c>
      <c r="R19" s="4">
        <v>499</v>
      </c>
      <c r="S19" s="71">
        <v>536</v>
      </c>
    </row>
    <row r="20" spans="1:19">
      <c r="A20" s="5" t="s">
        <v>356</v>
      </c>
      <c r="B20" s="5" t="s">
        <v>395</v>
      </c>
      <c r="C20" s="67">
        <v>1056894</v>
      </c>
      <c r="D20" s="70" t="s">
        <v>405</v>
      </c>
      <c r="E20" s="5" t="s">
        <v>182</v>
      </c>
      <c r="F20" s="5" t="s">
        <v>1148</v>
      </c>
      <c r="G20" s="5" t="s">
        <v>404</v>
      </c>
      <c r="H20" s="149">
        <f t="shared" si="0"/>
        <v>-0.74415204678362568</v>
      </c>
      <c r="I20" s="150">
        <f t="shared" si="1"/>
        <v>-509</v>
      </c>
      <c r="J20" s="4">
        <v>175</v>
      </c>
      <c r="K20" s="4">
        <v>684</v>
      </c>
      <c r="L20" s="4">
        <v>684</v>
      </c>
      <c r="M20" s="4">
        <v>684</v>
      </c>
      <c r="N20" s="4">
        <v>150</v>
      </c>
      <c r="O20" s="4">
        <v>160</v>
      </c>
      <c r="P20" s="4">
        <v>202</v>
      </c>
      <c r="Q20" s="4">
        <v>197</v>
      </c>
      <c r="R20" s="4">
        <v>185</v>
      </c>
      <c r="S20" s="71">
        <v>180</v>
      </c>
    </row>
    <row r="21" spans="1:19">
      <c r="A21" s="5" t="s">
        <v>356</v>
      </c>
      <c r="B21" s="5" t="s">
        <v>395</v>
      </c>
      <c r="C21" s="67">
        <v>1057009</v>
      </c>
      <c r="D21" s="70" t="s">
        <v>403</v>
      </c>
      <c r="E21" s="5" t="s">
        <v>397</v>
      </c>
      <c r="F21" s="5" t="s">
        <v>1148</v>
      </c>
      <c r="G21" s="5" t="s">
        <v>402</v>
      </c>
      <c r="H21" s="58">
        <f t="shared" si="0"/>
        <v>0</v>
      </c>
      <c r="I21" s="59">
        <f t="shared" si="1"/>
        <v>0</v>
      </c>
      <c r="J21" s="4">
        <v>165</v>
      </c>
      <c r="K21" s="4">
        <v>165</v>
      </c>
      <c r="L21" s="4">
        <v>185</v>
      </c>
      <c r="M21" s="4">
        <v>185</v>
      </c>
      <c r="N21" s="4">
        <v>200</v>
      </c>
      <c r="O21" s="4">
        <v>200</v>
      </c>
      <c r="P21" s="4">
        <v>200</v>
      </c>
      <c r="Q21" s="4">
        <v>200</v>
      </c>
      <c r="R21" s="4">
        <v>69</v>
      </c>
      <c r="S21" s="71">
        <v>65</v>
      </c>
    </row>
    <row r="22" spans="1:19">
      <c r="A22" s="5" t="s">
        <v>356</v>
      </c>
      <c r="B22" s="5" t="s">
        <v>395</v>
      </c>
      <c r="C22" s="67">
        <v>1057033</v>
      </c>
      <c r="D22" s="70" t="s">
        <v>401</v>
      </c>
      <c r="E22" s="5" t="s">
        <v>397</v>
      </c>
      <c r="F22" s="5" t="s">
        <v>1148</v>
      </c>
      <c r="G22" s="5" t="s">
        <v>400</v>
      </c>
      <c r="H22" s="58">
        <f t="shared" si="0"/>
        <v>0</v>
      </c>
      <c r="I22" s="59">
        <f t="shared" si="1"/>
        <v>0</v>
      </c>
      <c r="J22" s="4">
        <v>90</v>
      </c>
      <c r="K22" s="4">
        <v>90</v>
      </c>
      <c r="L22" s="4">
        <v>90</v>
      </c>
      <c r="M22" s="4">
        <v>90</v>
      </c>
      <c r="N22" s="4">
        <v>90</v>
      </c>
      <c r="O22" s="4">
        <v>85</v>
      </c>
      <c r="P22" s="4">
        <v>80</v>
      </c>
      <c r="Q22" s="4">
        <v>80</v>
      </c>
      <c r="R22" s="4">
        <v>80</v>
      </c>
      <c r="S22" s="71">
        <v>90</v>
      </c>
    </row>
    <row r="23" spans="1:19">
      <c r="A23" s="5" t="s">
        <v>356</v>
      </c>
      <c r="B23" s="5" t="s">
        <v>395</v>
      </c>
      <c r="C23" s="67">
        <v>1057041</v>
      </c>
      <c r="D23" s="70" t="s">
        <v>45</v>
      </c>
      <c r="E23" s="5" t="s">
        <v>397</v>
      </c>
      <c r="F23" s="5" t="s">
        <v>1148</v>
      </c>
      <c r="G23" s="5" t="s">
        <v>399</v>
      </c>
      <c r="H23" s="58">
        <f t="shared" si="0"/>
        <v>0</v>
      </c>
      <c r="I23" s="59">
        <f t="shared" si="1"/>
        <v>0</v>
      </c>
      <c r="J23" s="4">
        <v>150</v>
      </c>
      <c r="K23" s="4">
        <v>150</v>
      </c>
      <c r="L23" s="4">
        <v>175</v>
      </c>
      <c r="M23" s="4">
        <v>175</v>
      </c>
      <c r="N23" s="4">
        <v>175</v>
      </c>
      <c r="O23" s="4">
        <v>250</v>
      </c>
      <c r="P23" s="4">
        <v>210</v>
      </c>
      <c r="Q23" s="4">
        <v>209</v>
      </c>
      <c r="R23" s="4">
        <v>175</v>
      </c>
      <c r="S23" s="71">
        <v>175</v>
      </c>
    </row>
    <row r="24" spans="1:19">
      <c r="A24" s="5" t="s">
        <v>356</v>
      </c>
      <c r="B24" s="5" t="s">
        <v>395</v>
      </c>
      <c r="C24" s="67">
        <v>1057058</v>
      </c>
      <c r="D24" s="70" t="s">
        <v>398</v>
      </c>
      <c r="E24" s="5" t="s">
        <v>397</v>
      </c>
      <c r="F24" s="5" t="s">
        <v>1148</v>
      </c>
      <c r="G24" s="5" t="s">
        <v>396</v>
      </c>
      <c r="H24" s="58">
        <f t="shared" si="0"/>
        <v>0</v>
      </c>
      <c r="I24" s="59">
        <f t="shared" si="1"/>
        <v>0</v>
      </c>
      <c r="J24" s="4">
        <v>600</v>
      </c>
      <c r="K24" s="4">
        <v>600</v>
      </c>
      <c r="L24" s="4">
        <v>600</v>
      </c>
      <c r="M24" s="4">
        <v>600</v>
      </c>
      <c r="N24" s="4">
        <v>575</v>
      </c>
      <c r="O24" s="4">
        <v>575</v>
      </c>
      <c r="P24" s="4">
        <v>575</v>
      </c>
      <c r="Q24" s="4">
        <v>175</v>
      </c>
      <c r="R24" s="4">
        <v>175</v>
      </c>
      <c r="S24" s="71">
        <v>175</v>
      </c>
    </row>
    <row r="25" spans="1:19">
      <c r="A25" s="5" t="s">
        <v>356</v>
      </c>
      <c r="B25" s="5" t="s">
        <v>395</v>
      </c>
      <c r="C25" s="67">
        <v>1342021</v>
      </c>
      <c r="D25" s="70" t="s">
        <v>394</v>
      </c>
      <c r="E25" s="5" t="s">
        <v>393</v>
      </c>
      <c r="F25" s="5" t="s">
        <v>1147</v>
      </c>
      <c r="G25" s="5" t="s">
        <v>392</v>
      </c>
      <c r="H25" s="149">
        <f t="shared" si="0"/>
        <v>-0.23076923076923078</v>
      </c>
      <c r="I25" s="150">
        <f t="shared" si="1"/>
        <v>-15</v>
      </c>
      <c r="J25" s="54">
        <v>50</v>
      </c>
      <c r="K25" s="54">
        <v>65</v>
      </c>
      <c r="L25" s="54">
        <v>65</v>
      </c>
      <c r="M25" s="54">
        <v>80</v>
      </c>
      <c r="N25" s="54">
        <v>70</v>
      </c>
      <c r="O25" s="54">
        <v>70</v>
      </c>
      <c r="P25" s="54">
        <v>70</v>
      </c>
      <c r="Q25" s="54">
        <v>65</v>
      </c>
      <c r="R25" s="54">
        <v>75</v>
      </c>
      <c r="S25" s="145">
        <v>70</v>
      </c>
    </row>
    <row r="26" spans="1:19" ht="15" thickBot="1">
      <c r="D26" s="72" t="str">
        <f>"Church Count: "&amp;COUNTA(D5:D25)</f>
        <v>Church Count: 21</v>
      </c>
      <c r="E26" s="49"/>
      <c r="F26" s="49"/>
      <c r="G26" s="151" t="s">
        <v>1207</v>
      </c>
      <c r="H26" s="49"/>
      <c r="I26" s="49"/>
      <c r="J26" s="197">
        <f t="shared" ref="J26:S26" si="2">SUM(J5:J25)</f>
        <v>8954</v>
      </c>
      <c r="K26" s="197">
        <f t="shared" si="2"/>
        <v>9083</v>
      </c>
      <c r="L26" s="197">
        <f t="shared" si="2"/>
        <v>8233</v>
      </c>
      <c r="M26" s="197">
        <f t="shared" si="2"/>
        <v>8193</v>
      </c>
      <c r="N26" s="197">
        <f t="shared" si="2"/>
        <v>7272</v>
      </c>
      <c r="O26" s="197">
        <f t="shared" si="2"/>
        <v>6552</v>
      </c>
      <c r="P26" s="197">
        <f t="shared" si="2"/>
        <v>6139</v>
      </c>
      <c r="Q26" s="197">
        <f t="shared" si="2"/>
        <v>5338</v>
      </c>
      <c r="R26" s="197">
        <f t="shared" si="2"/>
        <v>5247</v>
      </c>
      <c r="S26" s="198">
        <f t="shared" si="2"/>
        <v>5183</v>
      </c>
    </row>
    <row r="27" spans="1:19" ht="15" thickTop="1">
      <c r="D27" s="152" t="s">
        <v>1180</v>
      </c>
      <c r="E27" s="49"/>
      <c r="F27" s="49"/>
      <c r="G27" s="151" t="s">
        <v>1208</v>
      </c>
      <c r="H27" s="49"/>
      <c r="I27" s="49"/>
      <c r="J27" s="205">
        <f>J26-K26</f>
        <v>-129</v>
      </c>
      <c r="K27" s="49"/>
      <c r="L27" s="49"/>
      <c r="M27" s="49"/>
      <c r="N27" s="49"/>
      <c r="O27" s="49"/>
      <c r="P27" s="49"/>
      <c r="Q27" s="49"/>
      <c r="R27" s="49"/>
      <c r="S27" s="50"/>
    </row>
    <row r="28" spans="1:19">
      <c r="D28" s="153" t="s">
        <v>1181</v>
      </c>
      <c r="E28" s="146"/>
      <c r="F28" s="146"/>
      <c r="G28" s="151" t="s">
        <v>1209</v>
      </c>
      <c r="H28" s="49"/>
      <c r="I28" s="49"/>
      <c r="J28" s="206">
        <f>(J26-K26)/ABS(K26)</f>
        <v>-1.4202356049763293E-2</v>
      </c>
      <c r="K28" s="49"/>
      <c r="L28" s="49"/>
      <c r="M28" s="49"/>
      <c r="N28" s="49"/>
      <c r="O28" s="49"/>
      <c r="P28" s="49"/>
      <c r="Q28" s="49"/>
      <c r="R28" s="49"/>
      <c r="S28" s="50"/>
    </row>
    <row r="29" spans="1:19">
      <c r="D29" s="170" t="s">
        <v>1210</v>
      </c>
      <c r="E29" s="49"/>
      <c r="F29" s="49"/>
      <c r="G29" s="218" t="s">
        <v>1219</v>
      </c>
      <c r="H29" s="49"/>
      <c r="I29" s="49"/>
      <c r="J29" s="222">
        <f>J26-S26</f>
        <v>3771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54" t="s">
        <v>1182</v>
      </c>
      <c r="E30" s="51"/>
      <c r="F30" s="186" t="s">
        <v>1211</v>
      </c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2"/>
    </row>
  </sheetData>
  <mergeCells count="1">
    <mergeCell ref="D1:S1"/>
  </mergeCells>
  <printOptions horizontalCentered="1"/>
  <pageMargins left="0.7" right="0.7" top="0.75" bottom="0.75" header="0.3" footer="0.3"/>
  <pageSetup scale="69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>
    <pageSetUpPr fitToPage="1"/>
  </sheetPr>
  <dimension ref="A1:S24"/>
  <sheetViews>
    <sheetView topLeftCell="D1" workbookViewId="0">
      <selection activeCell="G23" sqref="G23"/>
    </sheetView>
  </sheetViews>
  <sheetFormatPr baseColWidth="10" defaultColWidth="8.83203125" defaultRowHeight="14" x14ac:dyDescent="0"/>
  <cols>
    <col min="1" max="1" width="10.1640625" style="3" hidden="1" customWidth="1"/>
    <col min="2" max="2" width="12.83203125" style="3" hidden="1" customWidth="1"/>
    <col min="3" max="3" width="8.1640625" style="3" hidden="1" customWidth="1"/>
    <col min="4" max="4" width="34.5" style="3" bestFit="1" customWidth="1"/>
    <col min="5" max="5" width="13.6640625" style="3" bestFit="1" customWidth="1"/>
    <col min="6" max="6" width="10" style="3" bestFit="1" customWidth="1"/>
    <col min="7" max="7" width="24.1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East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Nacoqdoches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321</v>
      </c>
      <c r="B5" s="5" t="s">
        <v>435</v>
      </c>
      <c r="C5" s="67">
        <v>1950203</v>
      </c>
      <c r="D5" s="70" t="s">
        <v>218</v>
      </c>
      <c r="E5" s="5" t="s">
        <v>467</v>
      </c>
      <c r="F5" s="5" t="s">
        <v>1147</v>
      </c>
      <c r="G5" s="5" t="s">
        <v>466</v>
      </c>
      <c r="H5" s="149">
        <f>(J5-K5)/ABS(K5)</f>
        <v>-0.16666666666666666</v>
      </c>
      <c r="I5" s="150">
        <f>J5-K5</f>
        <v>-3</v>
      </c>
      <c r="J5" s="4">
        <v>15</v>
      </c>
      <c r="K5" s="4">
        <v>18</v>
      </c>
      <c r="L5" s="4">
        <v>18</v>
      </c>
      <c r="M5" s="4">
        <v>18</v>
      </c>
      <c r="N5" s="4">
        <v>18</v>
      </c>
      <c r="O5" s="4">
        <v>18</v>
      </c>
      <c r="P5" s="4">
        <v>18</v>
      </c>
      <c r="Q5" s="4">
        <v>18</v>
      </c>
      <c r="R5" s="4">
        <v>18</v>
      </c>
      <c r="S5" s="71">
        <v>18</v>
      </c>
    </row>
    <row r="6" spans="1:19">
      <c r="A6" s="5" t="s">
        <v>321</v>
      </c>
      <c r="B6" s="5" t="s">
        <v>435</v>
      </c>
      <c r="C6" s="67">
        <v>1573856</v>
      </c>
      <c r="D6" s="70" t="s">
        <v>465</v>
      </c>
      <c r="E6" s="5" t="s">
        <v>464</v>
      </c>
      <c r="F6" s="5" t="s">
        <v>1148</v>
      </c>
      <c r="G6" s="5" t="s">
        <v>463</v>
      </c>
      <c r="H6" s="175">
        <f t="shared" ref="H6:H19" si="0">(J6-K6)/ABS(K6)</f>
        <v>1.25</v>
      </c>
      <c r="I6" s="173">
        <f t="shared" ref="I6:I19" si="1">J6-K6</f>
        <v>25</v>
      </c>
      <c r="J6" s="4">
        <v>45</v>
      </c>
      <c r="K6" s="4">
        <v>20</v>
      </c>
      <c r="L6" s="4">
        <v>25</v>
      </c>
      <c r="M6" s="4">
        <v>25</v>
      </c>
      <c r="N6" s="4">
        <v>57</v>
      </c>
      <c r="O6" s="4">
        <v>25</v>
      </c>
      <c r="P6" s="4">
        <v>25</v>
      </c>
      <c r="Q6" s="4">
        <v>20</v>
      </c>
      <c r="R6" s="4">
        <v>20</v>
      </c>
      <c r="S6" s="71">
        <v>25</v>
      </c>
    </row>
    <row r="7" spans="1:19">
      <c r="A7" s="5" t="s">
        <v>321</v>
      </c>
      <c r="B7" s="5" t="s">
        <v>435</v>
      </c>
      <c r="C7" s="67">
        <v>1141563</v>
      </c>
      <c r="D7" s="70" t="s">
        <v>462</v>
      </c>
      <c r="E7" s="5" t="s">
        <v>450</v>
      </c>
      <c r="F7" s="5" t="s">
        <v>1147</v>
      </c>
      <c r="G7" s="5" t="s">
        <v>461</v>
      </c>
      <c r="H7" s="174">
        <f t="shared" si="0"/>
        <v>0.77777777777777779</v>
      </c>
      <c r="I7" s="173">
        <f t="shared" si="1"/>
        <v>35</v>
      </c>
      <c r="J7" s="4">
        <v>80</v>
      </c>
      <c r="K7" s="4">
        <v>45</v>
      </c>
      <c r="L7" s="4">
        <v>45</v>
      </c>
      <c r="M7" s="4">
        <v>45</v>
      </c>
      <c r="N7" s="4">
        <v>45</v>
      </c>
      <c r="O7" s="4">
        <v>45</v>
      </c>
      <c r="P7" s="4">
        <v>45</v>
      </c>
      <c r="Q7" s="4">
        <v>45</v>
      </c>
      <c r="R7" s="4">
        <v>45</v>
      </c>
      <c r="S7" s="71">
        <v>45</v>
      </c>
    </row>
    <row r="8" spans="1:19">
      <c r="A8" s="5" t="s">
        <v>321</v>
      </c>
      <c r="B8" s="5" t="s">
        <v>435</v>
      </c>
      <c r="C8" s="67">
        <v>1097708</v>
      </c>
      <c r="D8" s="70" t="s">
        <v>460</v>
      </c>
      <c r="E8" s="5" t="s">
        <v>276</v>
      </c>
      <c r="F8" s="5" t="s">
        <v>1147</v>
      </c>
      <c r="G8" s="5" t="s">
        <v>459</v>
      </c>
      <c r="H8" s="174">
        <f t="shared" si="0"/>
        <v>1.0833333333333333</v>
      </c>
      <c r="I8" s="173">
        <f t="shared" si="1"/>
        <v>13</v>
      </c>
      <c r="J8" s="4">
        <v>25</v>
      </c>
      <c r="K8" s="4">
        <v>12</v>
      </c>
      <c r="L8" s="4">
        <v>12</v>
      </c>
      <c r="M8" s="4">
        <v>12</v>
      </c>
      <c r="N8" s="4">
        <v>12</v>
      </c>
      <c r="O8" s="4">
        <v>12</v>
      </c>
      <c r="P8" s="4">
        <v>23</v>
      </c>
      <c r="Q8" s="4">
        <v>23</v>
      </c>
      <c r="R8" s="4">
        <v>15</v>
      </c>
      <c r="S8" s="71">
        <v>15</v>
      </c>
    </row>
    <row r="9" spans="1:19">
      <c r="A9" s="5" t="s">
        <v>321</v>
      </c>
      <c r="B9" s="5" t="s">
        <v>435</v>
      </c>
      <c r="C9" s="67">
        <v>1092170</v>
      </c>
      <c r="D9" s="70" t="s">
        <v>458</v>
      </c>
      <c r="E9" s="5" t="s">
        <v>456</v>
      </c>
      <c r="F9" s="5" t="s">
        <v>1148</v>
      </c>
      <c r="G9" s="5" t="s">
        <v>457</v>
      </c>
      <c r="H9" s="17">
        <f t="shared" si="0"/>
        <v>2.7027027027027029E-2</v>
      </c>
      <c r="I9" s="5">
        <f t="shared" si="1"/>
        <v>1</v>
      </c>
      <c r="J9" s="4">
        <v>38</v>
      </c>
      <c r="K9" s="4">
        <v>37</v>
      </c>
      <c r="L9" s="4">
        <v>35</v>
      </c>
      <c r="M9" s="4">
        <v>32</v>
      </c>
      <c r="N9" s="4">
        <v>34</v>
      </c>
      <c r="O9" s="4">
        <v>26</v>
      </c>
      <c r="P9" s="4">
        <v>28</v>
      </c>
      <c r="Q9" s="4">
        <v>28</v>
      </c>
      <c r="R9" s="4">
        <v>29</v>
      </c>
      <c r="S9" s="71">
        <v>30</v>
      </c>
    </row>
    <row r="10" spans="1:19">
      <c r="A10" s="5" t="s">
        <v>321</v>
      </c>
      <c r="B10" s="5" t="s">
        <v>435</v>
      </c>
      <c r="C10" s="67">
        <v>1060003</v>
      </c>
      <c r="D10" s="70" t="s">
        <v>25</v>
      </c>
      <c r="E10" s="5" t="s">
        <v>456</v>
      </c>
      <c r="F10" s="5" t="s">
        <v>1147</v>
      </c>
      <c r="G10" s="5" t="s">
        <v>455</v>
      </c>
      <c r="H10" s="149">
        <f t="shared" si="0"/>
        <v>-0.7</v>
      </c>
      <c r="I10" s="150">
        <f t="shared" si="1"/>
        <v>-14</v>
      </c>
      <c r="J10" s="4">
        <v>6</v>
      </c>
      <c r="K10" s="4">
        <v>20</v>
      </c>
      <c r="L10" s="4">
        <v>17</v>
      </c>
      <c r="M10" s="4">
        <v>17</v>
      </c>
      <c r="N10" s="4">
        <v>17</v>
      </c>
      <c r="O10" s="4">
        <v>17</v>
      </c>
      <c r="P10" s="4">
        <v>17</v>
      </c>
      <c r="Q10" s="4">
        <v>20</v>
      </c>
      <c r="R10" s="4">
        <v>20</v>
      </c>
      <c r="S10" s="71">
        <v>25</v>
      </c>
    </row>
    <row r="11" spans="1:19">
      <c r="A11" s="5" t="s">
        <v>321</v>
      </c>
      <c r="B11" s="5" t="s">
        <v>435</v>
      </c>
      <c r="C11" s="67">
        <v>1059989</v>
      </c>
      <c r="D11" s="70" t="s">
        <v>454</v>
      </c>
      <c r="E11" s="5" t="s">
        <v>453</v>
      </c>
      <c r="F11" s="5" t="s">
        <v>1148</v>
      </c>
      <c r="G11" s="5" t="s">
        <v>452</v>
      </c>
      <c r="H11" s="149">
        <f t="shared" si="0"/>
        <v>-0.1111111111111111</v>
      </c>
      <c r="I11" s="150">
        <f t="shared" si="1"/>
        <v>-5</v>
      </c>
      <c r="J11" s="4">
        <v>40</v>
      </c>
      <c r="K11" s="4">
        <v>45</v>
      </c>
      <c r="L11" s="4">
        <v>45</v>
      </c>
      <c r="M11" s="4">
        <v>45</v>
      </c>
      <c r="N11" s="4">
        <v>30</v>
      </c>
      <c r="O11" s="4">
        <v>30</v>
      </c>
      <c r="P11" s="4">
        <v>30</v>
      </c>
      <c r="Q11" s="4">
        <v>30</v>
      </c>
      <c r="R11" s="4">
        <v>35</v>
      </c>
      <c r="S11" s="71">
        <v>42</v>
      </c>
    </row>
    <row r="12" spans="1:19">
      <c r="A12" s="5" t="s">
        <v>321</v>
      </c>
      <c r="B12" s="5" t="s">
        <v>435</v>
      </c>
      <c r="C12" s="67">
        <v>1059914</v>
      </c>
      <c r="D12" s="70" t="s">
        <v>451</v>
      </c>
      <c r="E12" s="5" t="s">
        <v>450</v>
      </c>
      <c r="F12" s="5" t="s">
        <v>1148</v>
      </c>
      <c r="G12" s="5" t="s">
        <v>449</v>
      </c>
      <c r="H12" s="58">
        <f t="shared" si="0"/>
        <v>0</v>
      </c>
      <c r="I12" s="59">
        <f t="shared" si="1"/>
        <v>0</v>
      </c>
      <c r="J12" s="176">
        <v>170</v>
      </c>
      <c r="K12" s="4">
        <v>170</v>
      </c>
      <c r="L12" s="4">
        <v>135</v>
      </c>
      <c r="M12" s="4">
        <v>525</v>
      </c>
      <c r="N12" s="4">
        <v>525</v>
      </c>
      <c r="O12" s="4">
        <v>525</v>
      </c>
      <c r="P12" s="4">
        <v>525</v>
      </c>
      <c r="Q12" s="4">
        <v>245</v>
      </c>
      <c r="R12" s="4">
        <v>236</v>
      </c>
      <c r="S12" s="71">
        <v>250</v>
      </c>
    </row>
    <row r="13" spans="1:19">
      <c r="A13" s="5" t="s">
        <v>321</v>
      </c>
      <c r="B13" s="5" t="s">
        <v>435</v>
      </c>
      <c r="C13" s="67">
        <v>1059849</v>
      </c>
      <c r="D13" s="70" t="s">
        <v>25</v>
      </c>
      <c r="E13" s="5" t="s">
        <v>448</v>
      </c>
      <c r="F13" s="5" t="s">
        <v>1148</v>
      </c>
      <c r="G13" s="5" t="s">
        <v>447</v>
      </c>
      <c r="H13" s="17">
        <f t="shared" si="0"/>
        <v>5.4545454545454543E-2</v>
      </c>
      <c r="I13" s="5">
        <f t="shared" si="1"/>
        <v>6</v>
      </c>
      <c r="J13" s="4">
        <v>116</v>
      </c>
      <c r="K13" s="4">
        <v>110</v>
      </c>
      <c r="L13" s="4">
        <v>90</v>
      </c>
      <c r="M13" s="4">
        <v>65</v>
      </c>
      <c r="N13" s="4">
        <v>85</v>
      </c>
      <c r="O13" s="4">
        <v>65</v>
      </c>
      <c r="P13" s="4">
        <v>90</v>
      </c>
      <c r="Q13" s="4">
        <v>100</v>
      </c>
      <c r="R13" s="4">
        <v>100</v>
      </c>
      <c r="S13" s="71">
        <v>90</v>
      </c>
    </row>
    <row r="14" spans="1:19">
      <c r="A14" s="5" t="s">
        <v>321</v>
      </c>
      <c r="B14" s="5" t="s">
        <v>435</v>
      </c>
      <c r="C14" s="67">
        <v>1059831</v>
      </c>
      <c r="D14" s="70" t="s">
        <v>25</v>
      </c>
      <c r="E14" s="5" t="s">
        <v>446</v>
      </c>
      <c r="F14" s="5" t="s">
        <v>1147</v>
      </c>
      <c r="G14" s="5" t="s">
        <v>445</v>
      </c>
      <c r="H14" s="149">
        <f t="shared" si="0"/>
        <v>-0.25</v>
      </c>
      <c r="I14" s="150">
        <f t="shared" si="1"/>
        <v>-2</v>
      </c>
      <c r="J14" s="4">
        <v>6</v>
      </c>
      <c r="K14" s="4">
        <v>8</v>
      </c>
      <c r="L14" s="4">
        <v>8</v>
      </c>
      <c r="M14" s="4">
        <v>12</v>
      </c>
      <c r="N14" s="4">
        <v>15</v>
      </c>
      <c r="O14" s="4">
        <v>15</v>
      </c>
      <c r="P14" s="4">
        <v>12</v>
      </c>
      <c r="Q14" s="4">
        <v>10</v>
      </c>
      <c r="R14" s="4">
        <v>15</v>
      </c>
      <c r="S14" s="71">
        <v>13</v>
      </c>
    </row>
    <row r="15" spans="1:19">
      <c r="A15" s="5" t="s">
        <v>321</v>
      </c>
      <c r="B15" s="5" t="s">
        <v>435</v>
      </c>
      <c r="C15" s="67">
        <v>1059716</v>
      </c>
      <c r="D15" s="70" t="s">
        <v>444</v>
      </c>
      <c r="E15" s="5" t="s">
        <v>443</v>
      </c>
      <c r="F15" s="5" t="s">
        <v>1148</v>
      </c>
      <c r="G15" s="5" t="s">
        <v>442</v>
      </c>
      <c r="H15" s="149">
        <f t="shared" si="0"/>
        <v>-0.2</v>
      </c>
      <c r="I15" s="150">
        <f t="shared" si="1"/>
        <v>-20</v>
      </c>
      <c r="J15" s="4">
        <v>80</v>
      </c>
      <c r="K15" s="4">
        <v>100</v>
      </c>
      <c r="L15" s="4">
        <v>90</v>
      </c>
      <c r="M15" s="4">
        <v>100</v>
      </c>
      <c r="N15" s="4">
        <v>85</v>
      </c>
      <c r="O15" s="4">
        <v>85</v>
      </c>
      <c r="P15" s="4">
        <v>80</v>
      </c>
      <c r="Q15" s="4">
        <v>120</v>
      </c>
      <c r="R15" s="4">
        <v>120</v>
      </c>
      <c r="S15" s="71">
        <v>115</v>
      </c>
    </row>
    <row r="16" spans="1:19">
      <c r="A16" s="5" t="s">
        <v>321</v>
      </c>
      <c r="B16" s="5" t="s">
        <v>435</v>
      </c>
      <c r="C16" s="67">
        <v>1059641</v>
      </c>
      <c r="D16" s="70" t="s">
        <v>25</v>
      </c>
      <c r="E16" s="5" t="s">
        <v>441</v>
      </c>
      <c r="F16" s="5" t="s">
        <v>1148</v>
      </c>
      <c r="G16" s="5" t="s">
        <v>3</v>
      </c>
      <c r="H16" s="58">
        <f t="shared" si="0"/>
        <v>0</v>
      </c>
      <c r="I16" s="59">
        <f t="shared" si="1"/>
        <v>0</v>
      </c>
      <c r="J16" s="4">
        <v>50</v>
      </c>
      <c r="K16" s="4">
        <v>50</v>
      </c>
      <c r="L16" s="4">
        <v>50</v>
      </c>
      <c r="M16" s="4">
        <v>65</v>
      </c>
      <c r="N16" s="4">
        <v>58</v>
      </c>
      <c r="O16" s="4">
        <v>65</v>
      </c>
      <c r="P16" s="4">
        <v>90</v>
      </c>
      <c r="Q16" s="4">
        <v>75</v>
      </c>
      <c r="R16" s="4">
        <v>80</v>
      </c>
      <c r="S16" s="71">
        <v>70</v>
      </c>
    </row>
    <row r="17" spans="1:19">
      <c r="A17" s="5" t="s">
        <v>321</v>
      </c>
      <c r="B17" s="5" t="s">
        <v>435</v>
      </c>
      <c r="C17" s="67">
        <v>1059443</v>
      </c>
      <c r="D17" s="70" t="s">
        <v>440</v>
      </c>
      <c r="E17" s="5" t="s">
        <v>439</v>
      </c>
      <c r="F17" s="5" t="s">
        <v>1148</v>
      </c>
      <c r="G17" s="5" t="s">
        <v>438</v>
      </c>
      <c r="H17" s="149">
        <f t="shared" si="0"/>
        <v>-5.8823529411764705E-2</v>
      </c>
      <c r="I17" s="150">
        <f t="shared" si="1"/>
        <v>-1</v>
      </c>
      <c r="J17" s="4">
        <v>16</v>
      </c>
      <c r="K17" s="4">
        <v>17</v>
      </c>
      <c r="L17" s="4">
        <v>18</v>
      </c>
      <c r="M17" s="4">
        <v>20</v>
      </c>
      <c r="N17" s="4">
        <v>20</v>
      </c>
      <c r="O17" s="4">
        <v>15</v>
      </c>
      <c r="P17" s="4">
        <v>23</v>
      </c>
      <c r="Q17" s="4">
        <v>30</v>
      </c>
      <c r="R17" s="4">
        <v>22</v>
      </c>
      <c r="S17" s="71">
        <v>27</v>
      </c>
    </row>
    <row r="18" spans="1:19">
      <c r="A18" s="5" t="s">
        <v>321</v>
      </c>
      <c r="B18" s="5" t="s">
        <v>435</v>
      </c>
      <c r="C18" s="67">
        <v>1059393</v>
      </c>
      <c r="D18" s="70" t="s">
        <v>437</v>
      </c>
      <c r="E18" s="5" t="s">
        <v>434</v>
      </c>
      <c r="F18" s="5" t="s">
        <v>1148</v>
      </c>
      <c r="G18" s="5" t="s">
        <v>436</v>
      </c>
      <c r="H18" s="58">
        <f t="shared" si="0"/>
        <v>0</v>
      </c>
      <c r="I18" s="59">
        <f t="shared" si="1"/>
        <v>0</v>
      </c>
      <c r="J18" s="4">
        <v>31</v>
      </c>
      <c r="K18" s="4">
        <v>31</v>
      </c>
      <c r="L18" s="4">
        <v>22</v>
      </c>
      <c r="M18" s="4">
        <v>30</v>
      </c>
      <c r="N18" s="4">
        <v>22</v>
      </c>
      <c r="O18" s="4">
        <v>24</v>
      </c>
      <c r="P18" s="4">
        <v>31</v>
      </c>
      <c r="Q18" s="4">
        <v>33</v>
      </c>
      <c r="R18" s="4">
        <v>22</v>
      </c>
      <c r="S18" s="71">
        <v>24</v>
      </c>
    </row>
    <row r="19" spans="1:19">
      <c r="A19" s="5" t="s">
        <v>321</v>
      </c>
      <c r="B19" s="5" t="s">
        <v>435</v>
      </c>
      <c r="C19" s="67">
        <v>1059385</v>
      </c>
      <c r="D19" s="70" t="s">
        <v>25</v>
      </c>
      <c r="E19" s="5" t="s">
        <v>434</v>
      </c>
      <c r="F19" s="5" t="s">
        <v>1148</v>
      </c>
      <c r="G19" s="5" t="s">
        <v>433</v>
      </c>
      <c r="H19" s="17">
        <f t="shared" si="0"/>
        <v>2.564102564102564E-2</v>
      </c>
      <c r="I19" s="5">
        <f t="shared" si="1"/>
        <v>2</v>
      </c>
      <c r="J19" s="54">
        <v>80</v>
      </c>
      <c r="K19" s="54">
        <v>78</v>
      </c>
      <c r="L19" s="54">
        <v>72</v>
      </c>
      <c r="M19" s="54">
        <v>60</v>
      </c>
      <c r="N19" s="54">
        <v>71</v>
      </c>
      <c r="O19" s="54">
        <v>60</v>
      </c>
      <c r="P19" s="54">
        <v>55</v>
      </c>
      <c r="Q19" s="54">
        <v>46</v>
      </c>
      <c r="R19" s="54">
        <v>49</v>
      </c>
      <c r="S19" s="145">
        <v>44</v>
      </c>
    </row>
    <row r="20" spans="1:19" ht="15" thickBot="1">
      <c r="D20" s="72" t="str">
        <f>"Church Count: "&amp;COUNTA(D5:D19)</f>
        <v>Church Count: 15</v>
      </c>
      <c r="E20" s="49"/>
      <c r="F20" s="49"/>
      <c r="G20" s="151" t="s">
        <v>1207</v>
      </c>
      <c r="H20" s="17"/>
      <c r="I20" s="5"/>
      <c r="J20" s="201">
        <f t="shared" ref="J20:S20" si="2">SUM(J5:J19)</f>
        <v>798</v>
      </c>
      <c r="K20" s="197">
        <f t="shared" si="2"/>
        <v>761</v>
      </c>
      <c r="L20" s="197">
        <f t="shared" si="2"/>
        <v>682</v>
      </c>
      <c r="M20" s="197">
        <f t="shared" si="2"/>
        <v>1071</v>
      </c>
      <c r="N20" s="197">
        <f t="shared" si="2"/>
        <v>1094</v>
      </c>
      <c r="O20" s="197">
        <f t="shared" si="2"/>
        <v>1027</v>
      </c>
      <c r="P20" s="197">
        <f t="shared" si="2"/>
        <v>1092</v>
      </c>
      <c r="Q20" s="197">
        <f t="shared" si="2"/>
        <v>843</v>
      </c>
      <c r="R20" s="197">
        <f t="shared" si="2"/>
        <v>826</v>
      </c>
      <c r="S20" s="198">
        <f t="shared" si="2"/>
        <v>833</v>
      </c>
    </row>
    <row r="21" spans="1:19" ht="15" thickTop="1">
      <c r="D21" s="152" t="s">
        <v>1180</v>
      </c>
      <c r="E21" s="49"/>
      <c r="F21" s="49"/>
      <c r="G21" s="151" t="s">
        <v>1208</v>
      </c>
      <c r="H21" s="49"/>
      <c r="I21" s="49"/>
      <c r="J21" s="49">
        <f>J20-K20</f>
        <v>37</v>
      </c>
      <c r="K21" s="49"/>
      <c r="L21" s="49"/>
      <c r="M21" s="49"/>
      <c r="N21" s="49"/>
      <c r="O21" s="49"/>
      <c r="P21" s="49"/>
      <c r="Q21" s="49"/>
      <c r="R21" s="49"/>
      <c r="S21" s="50"/>
    </row>
    <row r="22" spans="1:19">
      <c r="D22" s="153" t="s">
        <v>1181</v>
      </c>
      <c r="E22" s="146"/>
      <c r="F22" s="146"/>
      <c r="G22" s="151" t="s">
        <v>1209</v>
      </c>
      <c r="H22" s="49"/>
      <c r="I22" s="49"/>
      <c r="J22" s="169">
        <f>(J20-K20)/ABS(K20)</f>
        <v>4.862023653088042E-2</v>
      </c>
      <c r="K22" s="49"/>
      <c r="L22" s="49"/>
      <c r="M22" s="49"/>
      <c r="N22" s="49"/>
      <c r="O22" s="49"/>
      <c r="P22" s="49"/>
      <c r="Q22" s="49"/>
      <c r="R22" s="49"/>
      <c r="S22" s="50"/>
    </row>
    <row r="23" spans="1:19">
      <c r="D23" s="170" t="s">
        <v>1210</v>
      </c>
      <c r="E23" s="49"/>
      <c r="F23" s="49"/>
      <c r="G23" s="218" t="s">
        <v>1219</v>
      </c>
      <c r="H23" s="49"/>
      <c r="I23" s="49"/>
      <c r="J23" s="221">
        <f>J20-S20</f>
        <v>-35</v>
      </c>
      <c r="K23" s="49"/>
      <c r="L23" s="49"/>
      <c r="M23" s="49"/>
      <c r="N23" s="49"/>
      <c r="O23" s="49"/>
      <c r="P23" s="49"/>
      <c r="Q23" s="49"/>
      <c r="R23" s="49"/>
      <c r="S23" s="50"/>
    </row>
    <row r="24" spans="1:19">
      <c r="D24" s="154" t="s">
        <v>1182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2"/>
    </row>
  </sheetData>
  <mergeCells count="1">
    <mergeCell ref="D1:S1"/>
  </mergeCells>
  <printOptions horizontalCentered="1"/>
  <pageMargins left="0.7" right="0.7" top="0.75" bottom="0.75" header="0.3" footer="0.3"/>
  <pageSetup scale="73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 enableFormatConditionsCalculation="0">
    <pageSetUpPr fitToPage="1"/>
  </sheetPr>
  <dimension ref="A1:S28"/>
  <sheetViews>
    <sheetView topLeftCell="D1" workbookViewId="0">
      <selection activeCell="G27" sqref="G27"/>
    </sheetView>
  </sheetViews>
  <sheetFormatPr baseColWidth="10" defaultColWidth="8.83203125" defaultRowHeight="14" x14ac:dyDescent="0"/>
  <cols>
    <col min="1" max="1" width="13.1640625" style="3" hidden="1" customWidth="1"/>
    <col min="2" max="2" width="12.33203125" style="3" hidden="1" customWidth="1"/>
    <col min="3" max="3" width="8.1640625" style="3" hidden="1" customWidth="1"/>
    <col min="4" max="4" width="37.33203125" style="3" customWidth="1"/>
    <col min="5" max="5" width="12" style="3" bestFit="1" customWidth="1"/>
    <col min="6" max="6" width="10" style="3" bestFit="1" customWidth="1"/>
    <col min="7" max="7" width="22.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North Austin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68</v>
      </c>
      <c r="B5" s="5" t="s">
        <v>470</v>
      </c>
      <c r="C5" s="67">
        <v>1104496</v>
      </c>
      <c r="D5" s="70" t="s">
        <v>25</v>
      </c>
      <c r="E5" s="5" t="s">
        <v>508</v>
      </c>
      <c r="F5" s="5" t="s">
        <v>1148</v>
      </c>
      <c r="G5" s="5" t="s">
        <v>507</v>
      </c>
      <c r="H5" s="149">
        <f>(J5-K5)/ABS(K5)</f>
        <v>-8.3969465648854963E-2</v>
      </c>
      <c r="I5" s="150">
        <f>J5-K5</f>
        <v>-11</v>
      </c>
      <c r="J5" s="4">
        <v>120</v>
      </c>
      <c r="K5" s="4">
        <v>131</v>
      </c>
      <c r="L5" s="4">
        <v>135</v>
      </c>
      <c r="M5" s="4">
        <v>140</v>
      </c>
      <c r="N5" s="4">
        <v>169</v>
      </c>
      <c r="O5" s="4">
        <v>175</v>
      </c>
      <c r="P5" s="4">
        <v>180</v>
      </c>
      <c r="Q5" s="4">
        <v>160</v>
      </c>
      <c r="R5" s="4">
        <v>171</v>
      </c>
      <c r="S5" s="71">
        <v>153</v>
      </c>
    </row>
    <row r="6" spans="1:19">
      <c r="A6" s="5" t="s">
        <v>68</v>
      </c>
      <c r="B6" s="5" t="s">
        <v>470</v>
      </c>
      <c r="C6" s="67">
        <v>1063270</v>
      </c>
      <c r="D6" s="70" t="s">
        <v>1163</v>
      </c>
      <c r="E6" s="5" t="s">
        <v>473</v>
      </c>
      <c r="F6" s="5" t="s">
        <v>1148</v>
      </c>
      <c r="G6" s="5" t="s">
        <v>506</v>
      </c>
      <c r="H6" s="17">
        <f t="shared" ref="H6:H23" si="0">(J6-K6)/ABS(K6)</f>
        <v>3.3333333333333333E-2</v>
      </c>
      <c r="I6" s="5">
        <f t="shared" ref="I6:I23" si="1">J6-K6</f>
        <v>5</v>
      </c>
      <c r="J6" s="4">
        <v>155</v>
      </c>
      <c r="K6" s="4">
        <v>150</v>
      </c>
      <c r="L6" s="4">
        <v>160</v>
      </c>
      <c r="M6" s="4">
        <v>150</v>
      </c>
      <c r="N6" s="4">
        <v>110</v>
      </c>
      <c r="O6" s="4">
        <v>85</v>
      </c>
      <c r="P6" s="4">
        <v>57</v>
      </c>
      <c r="Q6" s="4">
        <v>38</v>
      </c>
      <c r="R6" s="4">
        <v>23</v>
      </c>
      <c r="S6" s="71">
        <v>13</v>
      </c>
    </row>
    <row r="7" spans="1:19">
      <c r="A7" s="5" t="s">
        <v>68</v>
      </c>
      <c r="B7" s="5" t="s">
        <v>470</v>
      </c>
      <c r="C7" s="67">
        <v>1065440</v>
      </c>
      <c r="D7" s="70" t="s">
        <v>505</v>
      </c>
      <c r="E7" s="5" t="s">
        <v>488</v>
      </c>
      <c r="F7" s="5" t="s">
        <v>1147</v>
      </c>
      <c r="G7" s="5" t="s">
        <v>504</v>
      </c>
      <c r="H7" s="149">
        <f t="shared" si="0"/>
        <v>-6.4516129032258063E-2</v>
      </c>
      <c r="I7" s="150">
        <f t="shared" si="1"/>
        <v>-4</v>
      </c>
      <c r="J7" s="4">
        <v>58</v>
      </c>
      <c r="K7" s="4">
        <v>62</v>
      </c>
      <c r="L7" s="4">
        <v>65</v>
      </c>
      <c r="M7" s="4">
        <v>65</v>
      </c>
      <c r="N7" s="4">
        <v>65</v>
      </c>
      <c r="O7" s="4">
        <v>75</v>
      </c>
      <c r="P7" s="4">
        <v>72</v>
      </c>
      <c r="Q7" s="4">
        <v>69</v>
      </c>
      <c r="R7" s="4">
        <v>88</v>
      </c>
      <c r="S7" s="71">
        <v>77</v>
      </c>
    </row>
    <row r="8" spans="1:19">
      <c r="A8" s="5" t="s">
        <v>68</v>
      </c>
      <c r="B8" s="5" t="s">
        <v>470</v>
      </c>
      <c r="C8" s="67">
        <v>1065481</v>
      </c>
      <c r="D8" s="70" t="s">
        <v>503</v>
      </c>
      <c r="E8" s="5" t="s">
        <v>502</v>
      </c>
      <c r="F8" s="5" t="s">
        <v>1148</v>
      </c>
      <c r="G8" s="5" t="s">
        <v>501</v>
      </c>
      <c r="H8" s="174">
        <f t="shared" si="0"/>
        <v>0.16666666666666666</v>
      </c>
      <c r="I8" s="173">
        <f t="shared" si="1"/>
        <v>25</v>
      </c>
      <c r="J8" s="4">
        <v>175</v>
      </c>
      <c r="K8" s="4">
        <v>150</v>
      </c>
      <c r="L8" s="4">
        <v>150</v>
      </c>
      <c r="M8" s="4">
        <v>150</v>
      </c>
      <c r="N8" s="4">
        <v>165</v>
      </c>
      <c r="O8" s="4">
        <v>150</v>
      </c>
      <c r="P8" s="4">
        <v>350</v>
      </c>
      <c r="Q8" s="4">
        <v>325</v>
      </c>
      <c r="R8" s="4">
        <v>165</v>
      </c>
      <c r="S8" s="71">
        <v>165</v>
      </c>
    </row>
    <row r="9" spans="1:19">
      <c r="A9" s="5" t="s">
        <v>68</v>
      </c>
      <c r="B9" s="5" t="s">
        <v>470</v>
      </c>
      <c r="C9" s="67">
        <v>1065572</v>
      </c>
      <c r="D9" s="70" t="s">
        <v>500</v>
      </c>
      <c r="E9" s="5" t="s">
        <v>469</v>
      </c>
      <c r="F9" s="5" t="s">
        <v>1148</v>
      </c>
      <c r="G9" s="5" t="s">
        <v>3</v>
      </c>
      <c r="H9" s="58">
        <f t="shared" si="0"/>
        <v>0</v>
      </c>
      <c r="I9" s="59">
        <f t="shared" si="1"/>
        <v>0</v>
      </c>
      <c r="J9" s="4">
        <v>30</v>
      </c>
      <c r="K9" s="4">
        <v>30</v>
      </c>
      <c r="L9" s="4">
        <v>30</v>
      </c>
      <c r="M9" s="4">
        <v>30</v>
      </c>
      <c r="N9" s="4">
        <v>40</v>
      </c>
      <c r="O9" s="4">
        <v>35</v>
      </c>
      <c r="P9" s="4">
        <v>50</v>
      </c>
      <c r="Q9" s="4">
        <v>50</v>
      </c>
      <c r="R9" s="4">
        <v>65</v>
      </c>
      <c r="S9" s="71">
        <v>60</v>
      </c>
    </row>
    <row r="10" spans="1:19">
      <c r="A10" s="5" t="s">
        <v>68</v>
      </c>
      <c r="B10" s="5" t="s">
        <v>470</v>
      </c>
      <c r="C10" s="67">
        <v>1065614</v>
      </c>
      <c r="D10" s="70" t="s">
        <v>499</v>
      </c>
      <c r="E10" s="5" t="s">
        <v>473</v>
      </c>
      <c r="F10" s="5" t="s">
        <v>1147</v>
      </c>
      <c r="G10" s="5" t="s">
        <v>498</v>
      </c>
      <c r="H10" s="149">
        <f t="shared" si="0"/>
        <v>-7.1428571428571425E-2</v>
      </c>
      <c r="I10" s="150">
        <f t="shared" si="1"/>
        <v>-2</v>
      </c>
      <c r="J10" s="4">
        <v>26</v>
      </c>
      <c r="K10" s="4">
        <v>28</v>
      </c>
      <c r="L10" s="4">
        <v>25</v>
      </c>
      <c r="M10" s="4">
        <v>25</v>
      </c>
      <c r="N10" s="4">
        <v>28</v>
      </c>
      <c r="O10" s="4">
        <v>40</v>
      </c>
      <c r="P10" s="4">
        <v>45</v>
      </c>
      <c r="Q10" s="4">
        <v>50</v>
      </c>
      <c r="R10" s="4">
        <v>50</v>
      </c>
      <c r="S10" s="71">
        <v>36</v>
      </c>
    </row>
    <row r="11" spans="1:19">
      <c r="A11" s="5" t="s">
        <v>68</v>
      </c>
      <c r="B11" s="5" t="s">
        <v>470</v>
      </c>
      <c r="C11" s="67">
        <v>1065655</v>
      </c>
      <c r="D11" s="70" t="s">
        <v>497</v>
      </c>
      <c r="E11" s="5" t="s">
        <v>496</v>
      </c>
      <c r="F11" s="5" t="s">
        <v>1148</v>
      </c>
      <c r="G11" s="5" t="s">
        <v>495</v>
      </c>
      <c r="H11" s="58">
        <f t="shared" si="0"/>
        <v>0</v>
      </c>
      <c r="I11" s="59">
        <f t="shared" si="1"/>
        <v>0</v>
      </c>
      <c r="J11" s="4">
        <v>150</v>
      </c>
      <c r="K11" s="4">
        <v>150</v>
      </c>
      <c r="L11" s="4">
        <v>150</v>
      </c>
      <c r="M11" s="4">
        <v>145</v>
      </c>
      <c r="N11" s="4">
        <v>150</v>
      </c>
      <c r="O11" s="4">
        <v>141</v>
      </c>
      <c r="P11" s="4">
        <v>122</v>
      </c>
      <c r="Q11" s="4">
        <v>164</v>
      </c>
      <c r="R11" s="4">
        <v>198</v>
      </c>
      <c r="S11" s="71">
        <v>217</v>
      </c>
    </row>
    <row r="12" spans="1:19">
      <c r="A12" s="5" t="s">
        <v>68</v>
      </c>
      <c r="B12" s="5" t="s">
        <v>470</v>
      </c>
      <c r="C12" s="67">
        <v>1065721</v>
      </c>
      <c r="D12" s="70" t="s">
        <v>25</v>
      </c>
      <c r="E12" s="5" t="s">
        <v>469</v>
      </c>
      <c r="F12" s="5" t="s">
        <v>1148</v>
      </c>
      <c r="G12" s="5" t="s">
        <v>494</v>
      </c>
      <c r="H12" s="17">
        <f t="shared" si="0"/>
        <v>0.05</v>
      </c>
      <c r="I12" s="5">
        <f t="shared" si="1"/>
        <v>2</v>
      </c>
      <c r="J12" s="4">
        <v>42</v>
      </c>
      <c r="K12" s="4">
        <v>40</v>
      </c>
      <c r="L12" s="4">
        <v>40</v>
      </c>
      <c r="M12" s="4">
        <v>90</v>
      </c>
      <c r="N12" s="4">
        <v>90</v>
      </c>
      <c r="O12" s="4">
        <v>83</v>
      </c>
      <c r="P12" s="4">
        <v>90</v>
      </c>
      <c r="Q12" s="4">
        <v>75</v>
      </c>
      <c r="R12" s="4">
        <v>75</v>
      </c>
      <c r="S12" s="71">
        <v>75</v>
      </c>
    </row>
    <row r="13" spans="1:19">
      <c r="A13" s="5" t="s">
        <v>68</v>
      </c>
      <c r="B13" s="5" t="s">
        <v>470</v>
      </c>
      <c r="C13" s="67">
        <v>1061647</v>
      </c>
      <c r="D13" s="70" t="s">
        <v>247</v>
      </c>
      <c r="E13" s="5" t="s">
        <v>493</v>
      </c>
      <c r="F13" s="5" t="s">
        <v>1147</v>
      </c>
      <c r="G13" s="5" t="s">
        <v>492</v>
      </c>
      <c r="H13" s="174">
        <f t="shared" si="0"/>
        <v>0.12820512820512819</v>
      </c>
      <c r="I13" s="173">
        <f t="shared" si="1"/>
        <v>5</v>
      </c>
      <c r="J13" s="4">
        <v>44</v>
      </c>
      <c r="K13" s="4">
        <v>39</v>
      </c>
      <c r="L13" s="4">
        <v>40</v>
      </c>
      <c r="M13" s="4">
        <v>44</v>
      </c>
      <c r="N13" s="4">
        <v>41</v>
      </c>
      <c r="O13" s="4">
        <v>26</v>
      </c>
      <c r="P13" s="4">
        <v>17</v>
      </c>
      <c r="Q13" s="4">
        <v>25</v>
      </c>
      <c r="R13" s="4">
        <v>46</v>
      </c>
      <c r="S13" s="71">
        <v>45</v>
      </c>
    </row>
    <row r="14" spans="1:19">
      <c r="A14" s="5" t="s">
        <v>68</v>
      </c>
      <c r="B14" s="5" t="s">
        <v>470</v>
      </c>
      <c r="C14" s="67">
        <v>1096304</v>
      </c>
      <c r="D14" s="70" t="s">
        <v>25</v>
      </c>
      <c r="E14" s="5" t="s">
        <v>491</v>
      </c>
      <c r="F14" s="5" t="s">
        <v>1147</v>
      </c>
      <c r="G14" s="5" t="s">
        <v>490</v>
      </c>
      <c r="H14" s="174">
        <f t="shared" si="0"/>
        <v>0.26530612244897961</v>
      </c>
      <c r="I14" s="173">
        <f t="shared" si="1"/>
        <v>13</v>
      </c>
      <c r="J14" s="4">
        <v>62</v>
      </c>
      <c r="K14" s="4">
        <v>49</v>
      </c>
      <c r="L14" s="4">
        <v>53</v>
      </c>
      <c r="M14" s="4">
        <v>52</v>
      </c>
      <c r="N14" s="4">
        <v>41</v>
      </c>
      <c r="O14" s="4">
        <v>39</v>
      </c>
      <c r="P14" s="4">
        <v>34</v>
      </c>
      <c r="Q14" s="4">
        <v>38</v>
      </c>
      <c r="R14" s="4">
        <v>49</v>
      </c>
      <c r="S14" s="71">
        <v>36</v>
      </c>
    </row>
    <row r="15" spans="1:19">
      <c r="A15" s="5" t="s">
        <v>68</v>
      </c>
      <c r="B15" s="5" t="s">
        <v>470</v>
      </c>
      <c r="C15" s="67">
        <v>1698380</v>
      </c>
      <c r="D15" s="70" t="s">
        <v>489</v>
      </c>
      <c r="E15" s="5" t="s">
        <v>488</v>
      </c>
      <c r="F15" s="5" t="s">
        <v>1147</v>
      </c>
      <c r="G15" s="5" t="s">
        <v>487</v>
      </c>
      <c r="H15" s="149">
        <f t="shared" si="0"/>
        <v>-0.6</v>
      </c>
      <c r="I15" s="150">
        <f t="shared" si="1"/>
        <v>-15</v>
      </c>
      <c r="J15" s="4">
        <v>10</v>
      </c>
      <c r="K15" s="4">
        <v>25</v>
      </c>
      <c r="L15" s="4">
        <v>0</v>
      </c>
      <c r="M15" s="49"/>
      <c r="N15" s="49"/>
      <c r="O15" s="49"/>
      <c r="P15" s="49"/>
      <c r="Q15" s="49"/>
      <c r="R15" s="49"/>
      <c r="S15" s="50"/>
    </row>
    <row r="16" spans="1:19">
      <c r="A16" s="5" t="s">
        <v>68</v>
      </c>
      <c r="B16" s="5" t="s">
        <v>470</v>
      </c>
      <c r="C16" s="67">
        <v>1118694</v>
      </c>
      <c r="D16" s="70" t="s">
        <v>486</v>
      </c>
      <c r="E16" s="5" t="s">
        <v>485</v>
      </c>
      <c r="F16" s="5" t="s">
        <v>1147</v>
      </c>
      <c r="G16" s="5" t="s">
        <v>484</v>
      </c>
      <c r="H16" s="149">
        <f t="shared" si="0"/>
        <v>-9.433962264150943E-3</v>
      </c>
      <c r="I16" s="150">
        <f t="shared" si="1"/>
        <v>-1</v>
      </c>
      <c r="J16" s="4">
        <v>105</v>
      </c>
      <c r="K16" s="4">
        <v>106</v>
      </c>
      <c r="L16" s="4">
        <v>89</v>
      </c>
      <c r="M16" s="4">
        <v>75</v>
      </c>
      <c r="N16" s="4">
        <v>80</v>
      </c>
      <c r="O16" s="4">
        <v>83</v>
      </c>
      <c r="P16" s="4">
        <v>92</v>
      </c>
      <c r="Q16" s="4">
        <v>76</v>
      </c>
      <c r="R16" s="4">
        <v>52</v>
      </c>
      <c r="S16" s="71">
        <v>53</v>
      </c>
    </row>
    <row r="17" spans="1:19">
      <c r="A17" s="5" t="s">
        <v>68</v>
      </c>
      <c r="B17" s="5" t="s">
        <v>470</v>
      </c>
      <c r="C17" s="67">
        <v>1232982</v>
      </c>
      <c r="D17" s="70" t="s">
        <v>483</v>
      </c>
      <c r="E17" s="5" t="s">
        <v>482</v>
      </c>
      <c r="F17" s="5" t="s">
        <v>1149</v>
      </c>
      <c r="G17" s="5" t="s">
        <v>481</v>
      </c>
      <c r="H17" s="17" t="s">
        <v>1154</v>
      </c>
      <c r="I17" s="5">
        <f t="shared" si="1"/>
        <v>0</v>
      </c>
      <c r="J17" s="4">
        <v>0</v>
      </c>
      <c r="K17" s="4">
        <v>0</v>
      </c>
      <c r="L17" s="4">
        <v>0</v>
      </c>
      <c r="M17" s="4">
        <v>40</v>
      </c>
      <c r="N17" s="4">
        <v>40</v>
      </c>
      <c r="O17" s="4">
        <v>0</v>
      </c>
      <c r="P17" s="49"/>
      <c r="Q17" s="49"/>
      <c r="R17" s="49"/>
      <c r="S17" s="50"/>
    </row>
    <row r="18" spans="1:19">
      <c r="A18" s="5" t="s">
        <v>68</v>
      </c>
      <c r="B18" s="5" t="s">
        <v>470</v>
      </c>
      <c r="C18" s="67">
        <v>1233568</v>
      </c>
      <c r="D18" s="70" t="s">
        <v>480</v>
      </c>
      <c r="E18" s="5" t="s">
        <v>469</v>
      </c>
      <c r="F18" s="5" t="s">
        <v>1149</v>
      </c>
      <c r="G18" s="5" t="s">
        <v>479</v>
      </c>
      <c r="H18" s="17" t="s">
        <v>1154</v>
      </c>
      <c r="I18" s="5">
        <f t="shared" si="1"/>
        <v>0</v>
      </c>
      <c r="J18" s="4">
        <v>0</v>
      </c>
      <c r="K18" s="4">
        <v>0</v>
      </c>
      <c r="L18" s="4">
        <v>0</v>
      </c>
      <c r="M18" s="4">
        <v>61</v>
      </c>
      <c r="N18" s="4">
        <v>61</v>
      </c>
      <c r="O18" s="4">
        <v>90</v>
      </c>
      <c r="P18" s="49"/>
      <c r="Q18" s="49"/>
      <c r="R18" s="49"/>
      <c r="S18" s="50"/>
    </row>
    <row r="19" spans="1:19">
      <c r="A19" s="5" t="s">
        <v>68</v>
      </c>
      <c r="B19" s="5" t="s">
        <v>470</v>
      </c>
      <c r="C19" s="67">
        <v>1318955</v>
      </c>
      <c r="D19" s="70" t="s">
        <v>478</v>
      </c>
      <c r="E19" s="5" t="s">
        <v>473</v>
      </c>
      <c r="F19" s="5" t="s">
        <v>1147</v>
      </c>
      <c r="G19" s="5" t="s">
        <v>477</v>
      </c>
      <c r="H19" s="175">
        <f t="shared" si="0"/>
        <v>0.30303030303030304</v>
      </c>
      <c r="I19" s="173">
        <f t="shared" si="1"/>
        <v>50</v>
      </c>
      <c r="J19" s="4">
        <v>215</v>
      </c>
      <c r="K19" s="4">
        <v>165</v>
      </c>
      <c r="L19" s="4">
        <v>143</v>
      </c>
      <c r="M19" s="4">
        <v>80</v>
      </c>
      <c r="N19" s="4">
        <v>60</v>
      </c>
      <c r="O19" s="49"/>
      <c r="P19" s="49"/>
      <c r="Q19" s="49"/>
      <c r="R19" s="49"/>
      <c r="S19" s="50"/>
    </row>
    <row r="20" spans="1:19">
      <c r="A20" s="5" t="s">
        <v>68</v>
      </c>
      <c r="B20" s="5" t="s">
        <v>470</v>
      </c>
      <c r="C20" s="67">
        <v>1334598</v>
      </c>
      <c r="D20" s="70" t="s">
        <v>476</v>
      </c>
      <c r="E20" s="5" t="s">
        <v>469</v>
      </c>
      <c r="F20" s="5" t="s">
        <v>1147</v>
      </c>
      <c r="G20" s="5" t="s">
        <v>475</v>
      </c>
      <c r="H20" s="58">
        <f t="shared" si="0"/>
        <v>0</v>
      </c>
      <c r="I20" s="59">
        <f t="shared" si="1"/>
        <v>0</v>
      </c>
      <c r="J20" s="4">
        <v>12</v>
      </c>
      <c r="K20" s="4">
        <v>12</v>
      </c>
      <c r="L20" s="4">
        <v>13</v>
      </c>
      <c r="M20" s="4">
        <v>16</v>
      </c>
      <c r="N20" s="4">
        <v>19</v>
      </c>
      <c r="O20" s="4">
        <v>18</v>
      </c>
      <c r="P20" s="4">
        <v>19</v>
      </c>
      <c r="Q20" s="4">
        <v>21</v>
      </c>
      <c r="R20" s="4">
        <v>18</v>
      </c>
      <c r="S20" s="71">
        <v>19</v>
      </c>
    </row>
    <row r="21" spans="1:19">
      <c r="A21" s="5" t="s">
        <v>68</v>
      </c>
      <c r="B21" s="5" t="s">
        <v>470</v>
      </c>
      <c r="C21" s="67">
        <v>1529429</v>
      </c>
      <c r="D21" s="70" t="s">
        <v>474</v>
      </c>
      <c r="E21" s="5" t="s">
        <v>473</v>
      </c>
      <c r="F21" s="5" t="s">
        <v>1148</v>
      </c>
      <c r="G21" s="5" t="s">
        <v>472</v>
      </c>
      <c r="H21" s="58">
        <f t="shared" si="0"/>
        <v>0</v>
      </c>
      <c r="I21" s="59">
        <f t="shared" si="1"/>
        <v>0</v>
      </c>
      <c r="J21" s="4">
        <v>120</v>
      </c>
      <c r="K21" s="4">
        <v>120</v>
      </c>
      <c r="L21" s="4">
        <v>120</v>
      </c>
      <c r="M21" s="4">
        <v>90</v>
      </c>
      <c r="N21" s="4">
        <v>90</v>
      </c>
      <c r="O21" s="4">
        <v>85</v>
      </c>
      <c r="P21" s="4">
        <v>85</v>
      </c>
      <c r="Q21" s="4">
        <v>100</v>
      </c>
      <c r="R21" s="4">
        <v>85</v>
      </c>
      <c r="S21" s="71">
        <v>80</v>
      </c>
    </row>
    <row r="22" spans="1:19">
      <c r="A22" s="5" t="s">
        <v>68</v>
      </c>
      <c r="B22" s="5" t="s">
        <v>470</v>
      </c>
      <c r="C22" s="67">
        <v>1614049</v>
      </c>
      <c r="D22" s="70" t="s">
        <v>1162</v>
      </c>
      <c r="E22" s="5" t="s">
        <v>469</v>
      </c>
      <c r="F22" s="5" t="s">
        <v>1147</v>
      </c>
      <c r="G22" s="5" t="s">
        <v>471</v>
      </c>
      <c r="H22" s="58">
        <f t="shared" si="0"/>
        <v>0</v>
      </c>
      <c r="I22" s="59">
        <f t="shared" si="1"/>
        <v>0</v>
      </c>
      <c r="J22" s="4">
        <v>65</v>
      </c>
      <c r="K22" s="4">
        <v>65</v>
      </c>
      <c r="L22" s="4">
        <v>65</v>
      </c>
      <c r="M22" s="4">
        <v>60</v>
      </c>
      <c r="N22" s="4">
        <v>60</v>
      </c>
      <c r="O22" s="4">
        <v>65</v>
      </c>
      <c r="P22" s="4">
        <v>70</v>
      </c>
      <c r="Q22" s="4">
        <v>70</v>
      </c>
      <c r="R22" s="4">
        <v>125</v>
      </c>
      <c r="S22" s="71">
        <v>175</v>
      </c>
    </row>
    <row r="23" spans="1:19">
      <c r="A23" s="5" t="s">
        <v>68</v>
      </c>
      <c r="B23" s="5" t="s">
        <v>470</v>
      </c>
      <c r="C23" s="67">
        <v>1065739</v>
      </c>
      <c r="D23" s="70" t="s">
        <v>108</v>
      </c>
      <c r="E23" s="5" t="s">
        <v>469</v>
      </c>
      <c r="F23" s="5" t="s">
        <v>1148</v>
      </c>
      <c r="G23" s="5" t="s">
        <v>468</v>
      </c>
      <c r="H23" s="17">
        <f t="shared" si="0"/>
        <v>5.9880239520958087E-3</v>
      </c>
      <c r="I23" s="5">
        <f t="shared" si="1"/>
        <v>5</v>
      </c>
      <c r="J23" s="187">
        <v>840</v>
      </c>
      <c r="K23" s="54">
        <v>835</v>
      </c>
      <c r="L23" s="54">
        <v>826</v>
      </c>
      <c r="M23" s="54">
        <v>963</v>
      </c>
      <c r="N23" s="54">
        <v>950</v>
      </c>
      <c r="O23" s="54">
        <v>950</v>
      </c>
      <c r="P23" s="54">
        <v>927</v>
      </c>
      <c r="Q23" s="54">
        <v>925</v>
      </c>
      <c r="R23" s="54">
        <v>1050</v>
      </c>
      <c r="S23" s="145">
        <v>1100</v>
      </c>
    </row>
    <row r="24" spans="1:19" ht="15" thickBot="1">
      <c r="D24" s="72" t="str">
        <f>"Church Count: "&amp;COUNTA(D5:D23)</f>
        <v>Church Count: 19</v>
      </c>
      <c r="E24" s="49"/>
      <c r="F24" s="49"/>
      <c r="G24" s="151" t="s">
        <v>1207</v>
      </c>
      <c r="H24" s="49"/>
      <c r="I24" s="49"/>
      <c r="J24" s="197">
        <f t="shared" ref="J24:S24" si="2">SUM(J5:J23)</f>
        <v>2229</v>
      </c>
      <c r="K24" s="197">
        <f t="shared" si="2"/>
        <v>2157</v>
      </c>
      <c r="L24" s="197">
        <f t="shared" si="2"/>
        <v>2104</v>
      </c>
      <c r="M24" s="197">
        <f t="shared" si="2"/>
        <v>2276</v>
      </c>
      <c r="N24" s="197">
        <f t="shared" si="2"/>
        <v>2259</v>
      </c>
      <c r="O24" s="197">
        <f t="shared" si="2"/>
        <v>2140</v>
      </c>
      <c r="P24" s="197">
        <f t="shared" si="2"/>
        <v>2210</v>
      </c>
      <c r="Q24" s="197">
        <f t="shared" si="2"/>
        <v>2186</v>
      </c>
      <c r="R24" s="197">
        <f t="shared" si="2"/>
        <v>2260</v>
      </c>
      <c r="S24" s="198">
        <f t="shared" si="2"/>
        <v>2304</v>
      </c>
    </row>
    <row r="25" spans="1:19" ht="15" thickTop="1">
      <c r="D25" s="152" t="s">
        <v>1180</v>
      </c>
      <c r="E25" s="49"/>
      <c r="F25" s="49"/>
      <c r="G25" s="151" t="s">
        <v>1208</v>
      </c>
      <c r="H25" s="49"/>
      <c r="I25" s="49"/>
      <c r="J25" s="49">
        <f>J24-K24</f>
        <v>72</v>
      </c>
      <c r="K25" s="49"/>
      <c r="L25" s="49"/>
      <c r="M25" s="49"/>
      <c r="N25" s="49"/>
      <c r="O25" s="49"/>
      <c r="P25" s="49"/>
      <c r="Q25" s="49"/>
      <c r="R25" s="49"/>
      <c r="S25" s="50"/>
    </row>
    <row r="26" spans="1:19">
      <c r="D26" s="153" t="s">
        <v>1181</v>
      </c>
      <c r="E26" s="146"/>
      <c r="F26" s="146"/>
      <c r="G26" s="151" t="s">
        <v>1209</v>
      </c>
      <c r="H26" s="49"/>
      <c r="I26" s="49"/>
      <c r="J26" s="169">
        <f>(J24-K24)/ABS(K24)</f>
        <v>3.3379694019471488E-2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70" t="s">
        <v>1210</v>
      </c>
      <c r="E27" s="49"/>
      <c r="F27" s="49"/>
      <c r="G27" s="218" t="s">
        <v>1219</v>
      </c>
      <c r="H27" s="49"/>
      <c r="I27" s="49"/>
      <c r="J27" s="221">
        <f>J24-S24</f>
        <v>-75</v>
      </c>
      <c r="K27" s="49"/>
      <c r="L27" s="49"/>
      <c r="M27" s="49"/>
      <c r="N27" s="49"/>
      <c r="O27" s="49"/>
      <c r="P27" s="49"/>
      <c r="Q27" s="49"/>
      <c r="R27" s="49"/>
      <c r="S27" s="50"/>
    </row>
    <row r="28" spans="1:19">
      <c r="D28" s="154" t="s">
        <v>1182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2"/>
    </row>
  </sheetData>
  <mergeCells count="1">
    <mergeCell ref="D1:S1"/>
  </mergeCells>
  <printOptions horizontalCentered="1"/>
  <pageMargins left="0.7" right="0.7" top="0.75" bottom="0.75" header="0.3" footer="0.3"/>
  <pageSetup scale="73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 enableFormatConditionsCalculation="0">
    <pageSetUpPr fitToPage="1"/>
  </sheetPr>
  <dimension ref="A1:S32"/>
  <sheetViews>
    <sheetView topLeftCell="D1" workbookViewId="0">
      <selection activeCell="J31" sqref="J31"/>
    </sheetView>
  </sheetViews>
  <sheetFormatPr baseColWidth="10" defaultColWidth="8.83203125" defaultRowHeight="14" x14ac:dyDescent="0"/>
  <cols>
    <col min="1" max="1" width="13.1640625" style="3" hidden="1" customWidth="1"/>
    <col min="2" max="2" width="11.83203125" style="3" hidden="1" customWidth="1"/>
    <col min="3" max="3" width="8.1640625" style="3" hidden="1" customWidth="1"/>
    <col min="4" max="4" width="42.5" style="3" customWidth="1"/>
    <col min="5" max="5" width="10.6640625" style="3" bestFit="1" customWidth="1"/>
    <col min="6" max="6" width="10" style="3" bestFit="1" customWidth="1"/>
    <col min="7" max="7" width="23.1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North Dallas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177</v>
      </c>
      <c r="B5" s="5" t="s">
        <v>510</v>
      </c>
      <c r="C5" s="67">
        <v>1239763</v>
      </c>
      <c r="D5" s="70" t="s">
        <v>543</v>
      </c>
      <c r="E5" s="5" t="s">
        <v>364</v>
      </c>
      <c r="F5" s="5" t="s">
        <v>1147</v>
      </c>
      <c r="G5" s="5" t="s">
        <v>526</v>
      </c>
      <c r="H5" s="17">
        <f>(J5-K5)/ABS(K5)</f>
        <v>6.25E-2</v>
      </c>
      <c r="I5" s="5">
        <f>J5-K5</f>
        <v>5</v>
      </c>
      <c r="J5" s="4">
        <v>85</v>
      </c>
      <c r="K5" s="4">
        <v>80</v>
      </c>
      <c r="L5" s="4">
        <v>78</v>
      </c>
      <c r="M5" s="4">
        <v>69</v>
      </c>
      <c r="N5" s="4">
        <v>67</v>
      </c>
      <c r="O5" s="4">
        <v>70</v>
      </c>
      <c r="P5" s="49"/>
      <c r="Q5" s="49"/>
      <c r="R5" s="49"/>
      <c r="S5" s="50"/>
    </row>
    <row r="6" spans="1:19">
      <c r="A6" s="5" t="s">
        <v>177</v>
      </c>
      <c r="B6" s="5" t="s">
        <v>510</v>
      </c>
      <c r="C6" s="67">
        <v>1058148</v>
      </c>
      <c r="D6" s="70" t="s">
        <v>542</v>
      </c>
      <c r="E6" s="5" t="s">
        <v>364</v>
      </c>
      <c r="F6" s="5" t="s">
        <v>1147</v>
      </c>
      <c r="G6" s="5" t="s">
        <v>541</v>
      </c>
      <c r="H6" s="149">
        <f t="shared" ref="H6:H27" si="0">(J6-K6)/ABS(K6)</f>
        <v>-0.5714285714285714</v>
      </c>
      <c r="I6" s="150">
        <f t="shared" ref="I6:I27" si="1">J6-K6</f>
        <v>-20</v>
      </c>
      <c r="J6" s="4">
        <v>15</v>
      </c>
      <c r="K6" s="4">
        <v>35</v>
      </c>
      <c r="L6" s="4">
        <v>35</v>
      </c>
      <c r="M6" s="4">
        <v>35</v>
      </c>
      <c r="N6" s="4">
        <v>35</v>
      </c>
      <c r="O6" s="4">
        <v>35</v>
      </c>
      <c r="P6" s="4">
        <v>35</v>
      </c>
      <c r="Q6" s="4">
        <v>28</v>
      </c>
      <c r="R6" s="4">
        <v>48</v>
      </c>
      <c r="S6" s="71">
        <v>40</v>
      </c>
    </row>
    <row r="7" spans="1:19">
      <c r="A7" s="5" t="s">
        <v>177</v>
      </c>
      <c r="B7" s="5" t="s">
        <v>510</v>
      </c>
      <c r="C7" s="67">
        <v>1058163</v>
      </c>
      <c r="D7" s="70" t="s">
        <v>540</v>
      </c>
      <c r="E7" s="5" t="s">
        <v>364</v>
      </c>
      <c r="F7" s="5" t="s">
        <v>1148</v>
      </c>
      <c r="G7" s="5" t="s">
        <v>539</v>
      </c>
      <c r="H7" s="17">
        <f t="shared" si="0"/>
        <v>4.9079754601226995E-2</v>
      </c>
      <c r="I7" s="5">
        <f t="shared" si="1"/>
        <v>8</v>
      </c>
      <c r="J7" s="4">
        <v>171</v>
      </c>
      <c r="K7" s="4">
        <v>163</v>
      </c>
      <c r="L7" s="4">
        <v>166</v>
      </c>
      <c r="M7" s="4">
        <v>160</v>
      </c>
      <c r="N7" s="4">
        <v>171</v>
      </c>
      <c r="O7" s="4">
        <v>164</v>
      </c>
      <c r="P7" s="4">
        <v>186</v>
      </c>
      <c r="Q7" s="4">
        <v>199</v>
      </c>
      <c r="R7" s="4">
        <v>218</v>
      </c>
      <c r="S7" s="71">
        <v>234</v>
      </c>
    </row>
    <row r="8" spans="1:19">
      <c r="A8" s="5" t="s">
        <v>177</v>
      </c>
      <c r="B8" s="5" t="s">
        <v>510</v>
      </c>
      <c r="C8" s="67">
        <v>1058239</v>
      </c>
      <c r="D8" s="70" t="s">
        <v>194</v>
      </c>
      <c r="E8" s="5" t="s">
        <v>364</v>
      </c>
      <c r="F8" s="5" t="s">
        <v>1148</v>
      </c>
      <c r="G8" s="5" t="s">
        <v>538</v>
      </c>
      <c r="H8" s="149">
        <f t="shared" si="0"/>
        <v>-0.2</v>
      </c>
      <c r="I8" s="150">
        <f t="shared" si="1"/>
        <v>-100</v>
      </c>
      <c r="J8" s="4">
        <v>400</v>
      </c>
      <c r="K8" s="4">
        <v>500</v>
      </c>
      <c r="L8" s="4">
        <v>450</v>
      </c>
      <c r="M8" s="4">
        <v>400</v>
      </c>
      <c r="N8" s="4">
        <v>450</v>
      </c>
      <c r="O8" s="4">
        <v>550</v>
      </c>
      <c r="P8" s="4">
        <v>550</v>
      </c>
      <c r="Q8" s="4">
        <v>600</v>
      </c>
      <c r="R8" s="4">
        <v>650</v>
      </c>
      <c r="S8" s="71">
        <v>600</v>
      </c>
    </row>
    <row r="9" spans="1:19">
      <c r="A9" s="5" t="s">
        <v>177</v>
      </c>
      <c r="B9" s="5" t="s">
        <v>510</v>
      </c>
      <c r="C9" s="67">
        <v>1058049</v>
      </c>
      <c r="D9" s="70" t="s">
        <v>25</v>
      </c>
      <c r="E9" s="5" t="s">
        <v>364</v>
      </c>
      <c r="F9" s="5" t="s">
        <v>1148</v>
      </c>
      <c r="G9" s="5" t="s">
        <v>537</v>
      </c>
      <c r="H9" s="17">
        <f t="shared" si="0"/>
        <v>8.646616541353383E-2</v>
      </c>
      <c r="I9" s="5">
        <f t="shared" si="1"/>
        <v>23</v>
      </c>
      <c r="J9" s="4">
        <v>289</v>
      </c>
      <c r="K9" s="4">
        <v>266</v>
      </c>
      <c r="L9" s="4">
        <v>229</v>
      </c>
      <c r="M9" s="4">
        <v>246</v>
      </c>
      <c r="N9" s="4">
        <v>237</v>
      </c>
      <c r="O9" s="4">
        <v>269</v>
      </c>
      <c r="P9" s="4">
        <v>316</v>
      </c>
      <c r="Q9" s="4">
        <v>316</v>
      </c>
      <c r="R9" s="4">
        <v>346</v>
      </c>
      <c r="S9" s="71">
        <v>365</v>
      </c>
    </row>
    <row r="10" spans="1:19">
      <c r="A10" s="5" t="s">
        <v>177</v>
      </c>
      <c r="B10" s="5" t="s">
        <v>510</v>
      </c>
      <c r="C10" s="67">
        <v>1102250</v>
      </c>
      <c r="D10" s="70" t="s">
        <v>229</v>
      </c>
      <c r="E10" s="5" t="s">
        <v>358</v>
      </c>
      <c r="F10" s="5" t="s">
        <v>1148</v>
      </c>
      <c r="G10" s="5" t="s">
        <v>3</v>
      </c>
      <c r="H10" s="56">
        <f t="shared" si="0"/>
        <v>0</v>
      </c>
      <c r="I10" s="57">
        <f t="shared" si="1"/>
        <v>0</v>
      </c>
      <c r="J10" s="4">
        <v>119</v>
      </c>
      <c r="K10" s="4">
        <v>119</v>
      </c>
      <c r="L10" s="4">
        <v>119</v>
      </c>
      <c r="M10" s="4">
        <v>119</v>
      </c>
      <c r="N10" s="4">
        <v>119</v>
      </c>
      <c r="O10" s="4">
        <v>119</v>
      </c>
      <c r="P10" s="4">
        <v>119</v>
      </c>
      <c r="Q10" s="4">
        <v>105</v>
      </c>
      <c r="R10" s="4">
        <v>111</v>
      </c>
      <c r="S10" s="71">
        <v>119</v>
      </c>
    </row>
    <row r="11" spans="1:19">
      <c r="A11" s="5" t="s">
        <v>177</v>
      </c>
      <c r="B11" s="5" t="s">
        <v>510</v>
      </c>
      <c r="C11" s="67">
        <v>1124163</v>
      </c>
      <c r="D11" s="70" t="s">
        <v>62</v>
      </c>
      <c r="E11" s="5" t="s">
        <v>354</v>
      </c>
      <c r="F11" s="5" t="s">
        <v>1147</v>
      </c>
      <c r="G11" s="5" t="s">
        <v>536</v>
      </c>
      <c r="H11" s="58">
        <f t="shared" si="0"/>
        <v>-0.25531914893617019</v>
      </c>
      <c r="I11" s="59">
        <f t="shared" si="1"/>
        <v>-12</v>
      </c>
      <c r="J11" s="4">
        <v>35</v>
      </c>
      <c r="K11" s="4">
        <v>47</v>
      </c>
      <c r="L11" s="4">
        <v>39</v>
      </c>
      <c r="M11" s="4">
        <v>27</v>
      </c>
      <c r="N11" s="4">
        <v>37</v>
      </c>
      <c r="O11" s="4">
        <v>40</v>
      </c>
      <c r="P11" s="4">
        <v>39</v>
      </c>
      <c r="Q11" s="4">
        <v>32</v>
      </c>
      <c r="R11" s="4">
        <v>27</v>
      </c>
      <c r="S11" s="71">
        <v>87</v>
      </c>
    </row>
    <row r="12" spans="1:19">
      <c r="A12" s="5" t="s">
        <v>177</v>
      </c>
      <c r="B12" s="5" t="s">
        <v>510</v>
      </c>
      <c r="C12" s="67">
        <v>1129808</v>
      </c>
      <c r="D12" s="70" t="s">
        <v>535</v>
      </c>
      <c r="E12" s="5" t="s">
        <v>358</v>
      </c>
      <c r="F12" s="5" t="s">
        <v>1147</v>
      </c>
      <c r="G12" s="5" t="s">
        <v>534</v>
      </c>
      <c r="H12" s="149">
        <f t="shared" si="0"/>
        <v>-0.16666666666666666</v>
      </c>
      <c r="I12" s="150">
        <f t="shared" si="1"/>
        <v>-10</v>
      </c>
      <c r="J12" s="4">
        <v>50</v>
      </c>
      <c r="K12" s="4">
        <v>60</v>
      </c>
      <c r="L12" s="4">
        <v>80</v>
      </c>
      <c r="M12" s="4">
        <v>80</v>
      </c>
      <c r="N12" s="4">
        <v>90</v>
      </c>
      <c r="O12" s="4">
        <v>90</v>
      </c>
      <c r="P12" s="4">
        <v>90</v>
      </c>
      <c r="Q12" s="4">
        <v>90</v>
      </c>
      <c r="R12" s="4">
        <v>90</v>
      </c>
      <c r="S12" s="71">
        <v>90</v>
      </c>
    </row>
    <row r="13" spans="1:19">
      <c r="A13" s="5" t="s">
        <v>177</v>
      </c>
      <c r="B13" s="5" t="s">
        <v>510</v>
      </c>
      <c r="C13" s="67">
        <v>1135888</v>
      </c>
      <c r="D13" s="70" t="s">
        <v>1167</v>
      </c>
      <c r="E13" s="5" t="s">
        <v>364</v>
      </c>
      <c r="F13" s="5" t="s">
        <v>1148</v>
      </c>
      <c r="G13" s="5" t="s">
        <v>533</v>
      </c>
      <c r="H13" s="56">
        <f t="shared" si="0"/>
        <v>0</v>
      </c>
      <c r="I13" s="57">
        <f t="shared" si="1"/>
        <v>0</v>
      </c>
      <c r="J13" s="4">
        <v>35</v>
      </c>
      <c r="K13" s="4">
        <v>35</v>
      </c>
      <c r="L13" s="4">
        <v>35</v>
      </c>
      <c r="M13" s="4">
        <v>35</v>
      </c>
      <c r="N13" s="4">
        <v>35</v>
      </c>
      <c r="O13" s="4">
        <v>35</v>
      </c>
      <c r="P13" s="4">
        <v>35</v>
      </c>
      <c r="Q13" s="4">
        <v>45</v>
      </c>
      <c r="R13" s="4">
        <v>55</v>
      </c>
      <c r="S13" s="71">
        <v>70</v>
      </c>
    </row>
    <row r="14" spans="1:19">
      <c r="A14" s="5" t="s">
        <v>177</v>
      </c>
      <c r="B14" s="5" t="s">
        <v>510</v>
      </c>
      <c r="C14" s="67">
        <v>1142694</v>
      </c>
      <c r="D14" s="70" t="s">
        <v>532</v>
      </c>
      <c r="E14" s="5" t="s">
        <v>358</v>
      </c>
      <c r="F14" s="5" t="s">
        <v>1147</v>
      </c>
      <c r="G14" s="5" t="s">
        <v>531</v>
      </c>
      <c r="H14" s="56">
        <f t="shared" si="0"/>
        <v>0</v>
      </c>
      <c r="I14" s="57">
        <f t="shared" si="1"/>
        <v>0</v>
      </c>
      <c r="J14" s="4">
        <v>375</v>
      </c>
      <c r="K14" s="4">
        <v>375</v>
      </c>
      <c r="L14" s="4">
        <v>375</v>
      </c>
      <c r="M14" s="4">
        <v>375</v>
      </c>
      <c r="N14" s="4">
        <v>350</v>
      </c>
      <c r="O14" s="4">
        <v>185</v>
      </c>
      <c r="P14" s="4">
        <v>165</v>
      </c>
      <c r="Q14" s="49"/>
      <c r="R14" s="49"/>
      <c r="S14" s="50"/>
    </row>
    <row r="15" spans="1:19">
      <c r="A15" s="5" t="s">
        <v>177</v>
      </c>
      <c r="B15" s="5" t="s">
        <v>510</v>
      </c>
      <c r="C15" s="67">
        <v>1058130</v>
      </c>
      <c r="D15" s="70" t="s">
        <v>204</v>
      </c>
      <c r="E15" s="5" t="s">
        <v>364</v>
      </c>
      <c r="F15" s="5" t="s">
        <v>1147</v>
      </c>
      <c r="G15" s="5" t="s">
        <v>530</v>
      </c>
      <c r="H15" s="149">
        <f t="shared" si="0"/>
        <v>-0.1326530612244898</v>
      </c>
      <c r="I15" s="150">
        <f t="shared" si="1"/>
        <v>-13</v>
      </c>
      <c r="J15" s="4">
        <v>85</v>
      </c>
      <c r="K15" s="4">
        <v>98</v>
      </c>
      <c r="L15" s="4">
        <v>100</v>
      </c>
      <c r="M15" s="4">
        <v>100</v>
      </c>
      <c r="N15" s="4">
        <v>94</v>
      </c>
      <c r="O15" s="4">
        <v>119</v>
      </c>
      <c r="P15" s="4">
        <v>119</v>
      </c>
      <c r="Q15" s="4">
        <v>95</v>
      </c>
      <c r="R15" s="4">
        <v>95</v>
      </c>
      <c r="S15" s="71">
        <v>95</v>
      </c>
    </row>
    <row r="16" spans="1:19">
      <c r="A16" s="5" t="s">
        <v>177</v>
      </c>
      <c r="B16" s="5" t="s">
        <v>510</v>
      </c>
      <c r="C16" s="67">
        <v>1148436</v>
      </c>
      <c r="D16" s="70" t="s">
        <v>1164</v>
      </c>
      <c r="E16" s="5" t="s">
        <v>188</v>
      </c>
      <c r="F16" s="5" t="s">
        <v>1148</v>
      </c>
      <c r="G16" s="5" t="s">
        <v>529</v>
      </c>
      <c r="H16" s="17">
        <f t="shared" si="0"/>
        <v>8.8235294117647065E-2</v>
      </c>
      <c r="I16" s="5">
        <f t="shared" si="1"/>
        <v>3</v>
      </c>
      <c r="J16" s="4">
        <v>37</v>
      </c>
      <c r="K16" s="4">
        <v>34</v>
      </c>
      <c r="L16" s="4">
        <v>34</v>
      </c>
      <c r="M16" s="4">
        <v>34</v>
      </c>
      <c r="N16" s="4">
        <v>30</v>
      </c>
      <c r="O16" s="4">
        <v>30</v>
      </c>
      <c r="P16" s="4">
        <v>30</v>
      </c>
      <c r="Q16" s="4">
        <v>30</v>
      </c>
      <c r="R16" s="4">
        <v>30</v>
      </c>
      <c r="S16" s="71">
        <v>30</v>
      </c>
    </row>
    <row r="17" spans="1:19">
      <c r="A17" s="5" t="s">
        <v>177</v>
      </c>
      <c r="B17" s="5" t="s">
        <v>510</v>
      </c>
      <c r="C17" s="67">
        <v>1057280</v>
      </c>
      <c r="D17" s="70" t="s">
        <v>1165</v>
      </c>
      <c r="E17" s="5" t="s">
        <v>520</v>
      </c>
      <c r="F17" s="5" t="s">
        <v>1148</v>
      </c>
      <c r="G17" s="5" t="s">
        <v>527</v>
      </c>
      <c r="H17" s="17">
        <f t="shared" si="0"/>
        <v>9.2318059299191374E-2</v>
      </c>
      <c r="I17" s="5">
        <f t="shared" si="1"/>
        <v>137</v>
      </c>
      <c r="J17" s="4">
        <v>1621</v>
      </c>
      <c r="K17" s="4">
        <v>1484</v>
      </c>
      <c r="L17" s="4">
        <v>1192</v>
      </c>
      <c r="M17" s="4">
        <v>1258</v>
      </c>
      <c r="N17" s="4">
        <v>1449</v>
      </c>
      <c r="O17" s="4">
        <v>1367</v>
      </c>
      <c r="P17" s="4">
        <v>1235</v>
      </c>
      <c r="Q17" s="4">
        <v>1135</v>
      </c>
      <c r="R17" s="4">
        <v>775</v>
      </c>
      <c r="S17" s="71">
        <v>780</v>
      </c>
    </row>
    <row r="18" spans="1:19">
      <c r="A18" s="5" t="s">
        <v>177</v>
      </c>
      <c r="B18" s="5" t="s">
        <v>510</v>
      </c>
      <c r="C18" s="67">
        <v>1384155</v>
      </c>
      <c r="D18" s="70" t="s">
        <v>1166</v>
      </c>
      <c r="E18" s="5" t="s">
        <v>14</v>
      </c>
      <c r="F18" s="5" t="s">
        <v>1147</v>
      </c>
      <c r="G18" s="5" t="s">
        <v>526</v>
      </c>
      <c r="H18" s="56">
        <f t="shared" si="0"/>
        <v>0</v>
      </c>
      <c r="I18" s="57">
        <f t="shared" si="1"/>
        <v>0</v>
      </c>
      <c r="J18" s="4">
        <v>62</v>
      </c>
      <c r="K18" s="4">
        <v>62</v>
      </c>
      <c r="L18" s="4">
        <v>55</v>
      </c>
      <c r="M18" s="4">
        <v>40</v>
      </c>
      <c r="N18" s="4">
        <v>40</v>
      </c>
      <c r="O18" s="49"/>
      <c r="P18" s="49"/>
      <c r="Q18" s="49"/>
      <c r="R18" s="49"/>
      <c r="S18" s="50"/>
    </row>
    <row r="19" spans="1:19">
      <c r="A19" s="5" t="s">
        <v>177</v>
      </c>
      <c r="B19" s="5" t="s">
        <v>510</v>
      </c>
      <c r="C19" s="67">
        <v>1447705</v>
      </c>
      <c r="D19" s="70" t="s">
        <v>525</v>
      </c>
      <c r="E19" s="5" t="s">
        <v>364</v>
      </c>
      <c r="F19" s="5" t="s">
        <v>1148</v>
      </c>
      <c r="G19" s="5" t="s">
        <v>524</v>
      </c>
      <c r="H19" s="174">
        <f t="shared" si="0"/>
        <v>0.58878504672897192</v>
      </c>
      <c r="I19" s="173">
        <f t="shared" si="1"/>
        <v>63</v>
      </c>
      <c r="J19" s="4">
        <v>170</v>
      </c>
      <c r="K19" s="4">
        <v>107</v>
      </c>
      <c r="L19" s="4">
        <v>107</v>
      </c>
      <c r="M19" s="4">
        <v>95</v>
      </c>
      <c r="N19" s="4">
        <v>100</v>
      </c>
      <c r="O19" s="4">
        <v>100</v>
      </c>
      <c r="P19" s="4">
        <v>100</v>
      </c>
      <c r="Q19" s="4">
        <v>100</v>
      </c>
      <c r="R19" s="4">
        <v>100</v>
      </c>
      <c r="S19" s="71">
        <v>80</v>
      </c>
    </row>
    <row r="20" spans="1:19">
      <c r="A20" s="5" t="s">
        <v>177</v>
      </c>
      <c r="B20" s="5" t="s">
        <v>510</v>
      </c>
      <c r="C20" s="67">
        <v>1521665</v>
      </c>
      <c r="D20" s="70" t="s">
        <v>523</v>
      </c>
      <c r="E20" s="5" t="s">
        <v>358</v>
      </c>
      <c r="F20" s="5" t="s">
        <v>1149</v>
      </c>
      <c r="G20" s="5" t="s">
        <v>522</v>
      </c>
      <c r="H20" s="17" t="s">
        <v>1154</v>
      </c>
      <c r="I20" s="5">
        <f t="shared" si="1"/>
        <v>0</v>
      </c>
      <c r="J20" s="4">
        <v>0</v>
      </c>
      <c r="K20" s="4">
        <v>0</v>
      </c>
      <c r="L20" s="4">
        <v>0</v>
      </c>
      <c r="M20" s="4">
        <v>0</v>
      </c>
      <c r="N20" s="49"/>
      <c r="O20" s="49"/>
      <c r="P20" s="49"/>
      <c r="Q20" s="49"/>
      <c r="R20" s="49"/>
      <c r="S20" s="50"/>
    </row>
    <row r="21" spans="1:19">
      <c r="A21" s="5" t="s">
        <v>177</v>
      </c>
      <c r="B21" s="5" t="s">
        <v>510</v>
      </c>
      <c r="C21" s="67">
        <v>1700491</v>
      </c>
      <c r="D21" s="70" t="s">
        <v>521</v>
      </c>
      <c r="E21" s="5" t="s">
        <v>520</v>
      </c>
      <c r="F21" s="5" t="s">
        <v>1149</v>
      </c>
      <c r="G21" s="5" t="s">
        <v>519</v>
      </c>
      <c r="H21" s="17" t="s">
        <v>1154</v>
      </c>
      <c r="I21" s="5">
        <f t="shared" si="1"/>
        <v>0</v>
      </c>
      <c r="J21" s="4">
        <v>0</v>
      </c>
      <c r="K21" s="4">
        <v>0</v>
      </c>
      <c r="L21" s="4">
        <v>0</v>
      </c>
      <c r="M21" s="49"/>
      <c r="N21" s="49"/>
      <c r="O21" s="49"/>
      <c r="P21" s="49"/>
      <c r="Q21" s="49"/>
      <c r="R21" s="49"/>
      <c r="S21" s="50"/>
    </row>
    <row r="22" spans="1:19">
      <c r="A22" s="5" t="s">
        <v>177</v>
      </c>
      <c r="B22" s="5" t="s">
        <v>510</v>
      </c>
      <c r="C22" s="67">
        <v>1769439</v>
      </c>
      <c r="D22" s="70" t="s">
        <v>518</v>
      </c>
      <c r="E22" s="5" t="s">
        <v>358</v>
      </c>
      <c r="F22" s="5" t="s">
        <v>1149</v>
      </c>
      <c r="G22" s="5" t="s">
        <v>515</v>
      </c>
      <c r="H22" s="17" t="s">
        <v>1154</v>
      </c>
      <c r="I22" s="5">
        <f t="shared" si="1"/>
        <v>0</v>
      </c>
      <c r="J22" s="4">
        <v>0</v>
      </c>
      <c r="K22" s="49"/>
      <c r="L22" s="49"/>
      <c r="M22" s="49"/>
      <c r="N22" s="49"/>
      <c r="O22" s="49"/>
      <c r="P22" s="49"/>
      <c r="Q22" s="49"/>
      <c r="R22" s="49"/>
      <c r="S22" s="50"/>
    </row>
    <row r="23" spans="1:19">
      <c r="A23" s="5" t="s">
        <v>177</v>
      </c>
      <c r="B23" s="5" t="s">
        <v>510</v>
      </c>
      <c r="C23" s="67">
        <v>1769959</v>
      </c>
      <c r="D23" s="70" t="s">
        <v>517</v>
      </c>
      <c r="E23" s="5" t="s">
        <v>358</v>
      </c>
      <c r="F23" s="5" t="s">
        <v>1149</v>
      </c>
      <c r="G23" s="5" t="s">
        <v>515</v>
      </c>
      <c r="H23" s="17" t="s">
        <v>1154</v>
      </c>
      <c r="I23" s="5">
        <f t="shared" si="1"/>
        <v>0</v>
      </c>
      <c r="J23" s="4">
        <v>0</v>
      </c>
      <c r="K23" s="49"/>
      <c r="L23" s="49"/>
      <c r="M23" s="49"/>
      <c r="N23" s="49"/>
      <c r="O23" s="49"/>
      <c r="P23" s="49"/>
      <c r="Q23" s="49"/>
      <c r="R23" s="49"/>
      <c r="S23" s="50"/>
    </row>
    <row r="24" spans="1:19">
      <c r="A24" s="5" t="s">
        <v>177</v>
      </c>
      <c r="B24" s="5" t="s">
        <v>510</v>
      </c>
      <c r="C24" s="67">
        <v>1056951</v>
      </c>
      <c r="D24" s="70" t="s">
        <v>516</v>
      </c>
      <c r="E24" s="5" t="s">
        <v>358</v>
      </c>
      <c r="F24" s="5" t="s">
        <v>1148</v>
      </c>
      <c r="G24" s="5" t="s">
        <v>515</v>
      </c>
      <c r="H24" s="147">
        <f t="shared" si="0"/>
        <v>0.69230769230769229</v>
      </c>
      <c r="I24" s="173">
        <f t="shared" si="1"/>
        <v>900</v>
      </c>
      <c r="J24" s="148">
        <v>2200</v>
      </c>
      <c r="K24" s="4">
        <v>1300</v>
      </c>
      <c r="L24" s="4">
        <v>1900</v>
      </c>
      <c r="M24" s="4">
        <v>1545</v>
      </c>
      <c r="N24" s="4">
        <v>1545</v>
      </c>
      <c r="O24" s="4">
        <v>750</v>
      </c>
      <c r="P24" s="4">
        <v>475</v>
      </c>
      <c r="Q24" s="4">
        <v>475</v>
      </c>
      <c r="R24" s="4">
        <v>520</v>
      </c>
      <c r="S24" s="71">
        <v>350</v>
      </c>
    </row>
    <row r="25" spans="1:19">
      <c r="A25" s="5" t="s">
        <v>177</v>
      </c>
      <c r="B25" s="5" t="s">
        <v>510</v>
      </c>
      <c r="C25" s="67">
        <v>1056977</v>
      </c>
      <c r="D25" s="70" t="s">
        <v>514</v>
      </c>
      <c r="E25" s="5" t="s">
        <v>358</v>
      </c>
      <c r="F25" s="5" t="s">
        <v>1148</v>
      </c>
      <c r="G25" s="5" t="s">
        <v>513</v>
      </c>
      <c r="H25" s="56">
        <f t="shared" si="0"/>
        <v>0</v>
      </c>
      <c r="I25" s="57">
        <f t="shared" si="1"/>
        <v>0</v>
      </c>
      <c r="J25" s="4">
        <v>75</v>
      </c>
      <c r="K25" s="4">
        <v>75</v>
      </c>
      <c r="L25" s="4">
        <v>75</v>
      </c>
      <c r="M25" s="4">
        <v>75</v>
      </c>
      <c r="N25" s="4">
        <v>75</v>
      </c>
      <c r="O25" s="4">
        <v>75</v>
      </c>
      <c r="P25" s="4">
        <v>55</v>
      </c>
      <c r="Q25" s="4">
        <v>55</v>
      </c>
      <c r="R25" s="4">
        <v>55</v>
      </c>
      <c r="S25" s="71">
        <v>100</v>
      </c>
    </row>
    <row r="26" spans="1:19">
      <c r="A26" s="5" t="s">
        <v>177</v>
      </c>
      <c r="B26" s="5" t="s">
        <v>510</v>
      </c>
      <c r="C26" s="67">
        <v>1056985</v>
      </c>
      <c r="D26" s="70" t="s">
        <v>512</v>
      </c>
      <c r="E26" s="5" t="s">
        <v>358</v>
      </c>
      <c r="F26" s="5" t="s">
        <v>1147</v>
      </c>
      <c r="G26" s="5" t="s">
        <v>511</v>
      </c>
      <c r="H26" s="149">
        <f t="shared" si="0"/>
        <v>-0.33333333333333331</v>
      </c>
      <c r="I26" s="150">
        <f t="shared" si="1"/>
        <v>-20</v>
      </c>
      <c r="J26" s="4">
        <v>40</v>
      </c>
      <c r="K26" s="4">
        <v>60</v>
      </c>
      <c r="L26" s="4">
        <v>60</v>
      </c>
      <c r="M26" s="4">
        <v>71</v>
      </c>
      <c r="N26" s="4">
        <v>71</v>
      </c>
      <c r="O26" s="4">
        <v>71</v>
      </c>
      <c r="P26" s="4">
        <v>76</v>
      </c>
      <c r="Q26" s="4">
        <v>90</v>
      </c>
      <c r="R26" s="4">
        <v>90</v>
      </c>
      <c r="S26" s="71">
        <v>75</v>
      </c>
    </row>
    <row r="27" spans="1:19">
      <c r="A27" s="5" t="s">
        <v>177</v>
      </c>
      <c r="B27" s="5" t="s">
        <v>510</v>
      </c>
      <c r="C27" s="67">
        <v>1148394</v>
      </c>
      <c r="D27" s="70" t="s">
        <v>509</v>
      </c>
      <c r="E27" s="5" t="s">
        <v>354</v>
      </c>
      <c r="F27" s="5" t="s">
        <v>1148</v>
      </c>
      <c r="G27" s="5" t="s">
        <v>3</v>
      </c>
      <c r="H27" s="58">
        <f t="shared" si="0"/>
        <v>0</v>
      </c>
      <c r="I27" s="59">
        <f t="shared" si="1"/>
        <v>0</v>
      </c>
      <c r="J27" s="54">
        <v>28</v>
      </c>
      <c r="K27" s="54">
        <v>28</v>
      </c>
      <c r="L27" s="54">
        <v>40</v>
      </c>
      <c r="M27" s="54">
        <v>90</v>
      </c>
      <c r="N27" s="54">
        <v>80</v>
      </c>
      <c r="O27" s="54">
        <v>79</v>
      </c>
      <c r="P27" s="54">
        <v>79</v>
      </c>
      <c r="Q27" s="54">
        <v>79</v>
      </c>
      <c r="R27" s="54">
        <v>30</v>
      </c>
      <c r="S27" s="145">
        <v>30</v>
      </c>
    </row>
    <row r="28" spans="1:19" ht="15" thickBot="1">
      <c r="D28" s="72" t="str">
        <f>"Church Count: "&amp;COUNTA(D5:D27)</f>
        <v>Church Count: 23</v>
      </c>
      <c r="E28" s="49"/>
      <c r="F28" s="49"/>
      <c r="G28" s="151" t="s">
        <v>1207</v>
      </c>
      <c r="H28" s="49"/>
      <c r="I28" s="49"/>
      <c r="J28" s="197">
        <f t="shared" ref="J28:S28" si="2">SUM(J5:J27)</f>
        <v>5892</v>
      </c>
      <c r="K28" s="197">
        <f t="shared" si="2"/>
        <v>4928</v>
      </c>
      <c r="L28" s="197">
        <f t="shared" si="2"/>
        <v>5169</v>
      </c>
      <c r="M28" s="197">
        <f t="shared" si="2"/>
        <v>4854</v>
      </c>
      <c r="N28" s="197">
        <f t="shared" si="2"/>
        <v>5075</v>
      </c>
      <c r="O28" s="197">
        <f t="shared" si="2"/>
        <v>4148</v>
      </c>
      <c r="P28" s="197">
        <f t="shared" si="2"/>
        <v>3704</v>
      </c>
      <c r="Q28" s="197">
        <f t="shared" si="2"/>
        <v>3474</v>
      </c>
      <c r="R28" s="197">
        <f t="shared" si="2"/>
        <v>3240</v>
      </c>
      <c r="S28" s="198">
        <f t="shared" si="2"/>
        <v>3145</v>
      </c>
    </row>
    <row r="29" spans="1:19" ht="15" thickTop="1">
      <c r="D29" s="152" t="s">
        <v>1180</v>
      </c>
      <c r="E29" s="49"/>
      <c r="F29" s="49"/>
      <c r="G29" s="151" t="s">
        <v>1208</v>
      </c>
      <c r="H29" s="49"/>
      <c r="I29" s="49"/>
      <c r="J29" s="49">
        <f>J28-K28</f>
        <v>964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53" t="s">
        <v>1181</v>
      </c>
      <c r="E30" s="146"/>
      <c r="F30" s="146"/>
      <c r="G30" s="151" t="s">
        <v>1209</v>
      </c>
      <c r="H30" s="49"/>
      <c r="I30" s="49"/>
      <c r="J30" s="169">
        <f>(J28-K28)/ABS(K28)</f>
        <v>0.19561688311688311</v>
      </c>
      <c r="K30" s="49"/>
      <c r="L30" s="49"/>
      <c r="M30" s="49"/>
      <c r="N30" s="49"/>
      <c r="O30" s="49"/>
      <c r="P30" s="49"/>
      <c r="Q30" s="49"/>
      <c r="R30" s="49"/>
      <c r="S30" s="50"/>
    </row>
    <row r="31" spans="1:19">
      <c r="D31" s="170" t="s">
        <v>1210</v>
      </c>
      <c r="E31" s="49"/>
      <c r="F31" s="49"/>
      <c r="G31" s="218" t="s">
        <v>1219</v>
      </c>
      <c r="H31" s="49"/>
      <c r="I31" s="49"/>
      <c r="J31" s="222">
        <f>J28-S28</f>
        <v>2747</v>
      </c>
      <c r="K31" s="49"/>
      <c r="L31" s="49"/>
      <c r="M31" s="49"/>
      <c r="N31" s="49"/>
      <c r="O31" s="49"/>
      <c r="P31" s="49"/>
      <c r="Q31" s="49"/>
      <c r="R31" s="49"/>
      <c r="S31" s="50"/>
    </row>
    <row r="32" spans="1:19">
      <c r="D32" s="154" t="s">
        <v>1182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2"/>
    </row>
  </sheetData>
  <mergeCells count="1">
    <mergeCell ref="D1:S1"/>
  </mergeCells>
  <printOptions horizontalCentered="1"/>
  <pageMargins left="0.7" right="0.7" top="0.75" bottom="0.75" header="0.3" footer="0.3"/>
  <pageSetup scale="71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 enableFormatConditionsCalculation="0">
    <pageSetUpPr fitToPage="1"/>
  </sheetPr>
  <dimension ref="A1:S22"/>
  <sheetViews>
    <sheetView topLeftCell="D1" workbookViewId="0">
      <selection activeCell="J21" sqref="J21"/>
    </sheetView>
  </sheetViews>
  <sheetFormatPr baseColWidth="10" defaultColWidth="8.83203125" defaultRowHeight="14" x14ac:dyDescent="0"/>
  <cols>
    <col min="1" max="1" width="13.1640625" style="3" hidden="1" customWidth="1"/>
    <col min="2" max="2" width="20.5" style="3" hidden="1" customWidth="1"/>
    <col min="3" max="3" width="8.1640625" style="3" hidden="1" customWidth="1"/>
    <col min="4" max="4" width="38.5" style="3" bestFit="1" customWidth="1"/>
    <col min="5" max="5" width="11.33203125" style="3" bestFit="1" customWidth="1"/>
    <col min="6" max="6" width="10" style="3" bestFit="1" customWidth="1"/>
    <col min="7" max="7" width="22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North East Fort Worth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177</v>
      </c>
      <c r="B5" s="5" t="s">
        <v>546</v>
      </c>
      <c r="C5" s="67">
        <v>1730845</v>
      </c>
      <c r="D5" s="70" t="s">
        <v>574</v>
      </c>
      <c r="E5" s="5" t="s">
        <v>11</v>
      </c>
      <c r="F5" s="5" t="s">
        <v>1147</v>
      </c>
      <c r="G5" s="5" t="s">
        <v>573</v>
      </c>
      <c r="H5" s="149">
        <f>(J5-K5)/ABS(K5)</f>
        <v>-0.26666666666666666</v>
      </c>
      <c r="I5" s="150">
        <f>J5-K5</f>
        <v>-8</v>
      </c>
      <c r="J5" s="4">
        <v>22</v>
      </c>
      <c r="K5" s="4">
        <v>30</v>
      </c>
      <c r="L5" s="49"/>
      <c r="M5" s="49"/>
      <c r="N5" s="49"/>
      <c r="O5" s="49"/>
      <c r="P5" s="49"/>
      <c r="Q5" s="49"/>
      <c r="R5" s="49"/>
      <c r="S5" s="50"/>
    </row>
    <row r="6" spans="1:19">
      <c r="A6" s="5" t="s">
        <v>177</v>
      </c>
      <c r="B6" s="5" t="s">
        <v>546</v>
      </c>
      <c r="C6" s="67">
        <v>1469220</v>
      </c>
      <c r="D6" s="70" t="s">
        <v>572</v>
      </c>
      <c r="E6" s="5" t="s">
        <v>548</v>
      </c>
      <c r="F6" s="5" t="s">
        <v>1148</v>
      </c>
      <c r="G6" s="5" t="s">
        <v>571</v>
      </c>
      <c r="H6" s="58">
        <f t="shared" ref="H6:H17" si="0">(J6-K6)/ABS(K6)</f>
        <v>0</v>
      </c>
      <c r="I6" s="59">
        <f t="shared" ref="I6:I17" si="1">J6-K6</f>
        <v>0</v>
      </c>
      <c r="J6" s="4">
        <v>74</v>
      </c>
      <c r="K6" s="4">
        <v>74</v>
      </c>
      <c r="L6" s="4">
        <v>72</v>
      </c>
      <c r="M6" s="4">
        <v>60</v>
      </c>
      <c r="N6" s="4">
        <v>51</v>
      </c>
      <c r="O6" s="4">
        <v>55</v>
      </c>
      <c r="P6" s="4">
        <v>75</v>
      </c>
      <c r="Q6" s="4">
        <v>85</v>
      </c>
      <c r="R6" s="4">
        <v>84</v>
      </c>
      <c r="S6" s="71">
        <v>77</v>
      </c>
    </row>
    <row r="7" spans="1:19">
      <c r="A7" s="5" t="s">
        <v>177</v>
      </c>
      <c r="B7" s="5" t="s">
        <v>546</v>
      </c>
      <c r="C7" s="67">
        <v>1103993</v>
      </c>
      <c r="D7" s="70" t="s">
        <v>570</v>
      </c>
      <c r="E7" s="5" t="s">
        <v>559</v>
      </c>
      <c r="F7" s="5" t="s">
        <v>1148</v>
      </c>
      <c r="G7" s="5" t="s">
        <v>569</v>
      </c>
      <c r="H7" s="58">
        <f t="shared" si="0"/>
        <v>0</v>
      </c>
      <c r="I7" s="59">
        <f t="shared" si="1"/>
        <v>0</v>
      </c>
      <c r="J7" s="4">
        <v>89</v>
      </c>
      <c r="K7" s="4">
        <v>89</v>
      </c>
      <c r="L7" s="4">
        <v>89</v>
      </c>
      <c r="M7" s="4">
        <v>89</v>
      </c>
      <c r="N7" s="4">
        <v>89</v>
      </c>
      <c r="O7" s="4">
        <v>89</v>
      </c>
      <c r="P7" s="4">
        <v>89</v>
      </c>
      <c r="Q7" s="4">
        <v>89</v>
      </c>
      <c r="R7" s="4">
        <v>99</v>
      </c>
      <c r="S7" s="71">
        <v>107</v>
      </c>
    </row>
    <row r="8" spans="1:19">
      <c r="A8" s="5" t="s">
        <v>177</v>
      </c>
      <c r="B8" s="5" t="s">
        <v>546</v>
      </c>
      <c r="C8" s="67">
        <v>1096262</v>
      </c>
      <c r="D8" s="70" t="s">
        <v>568</v>
      </c>
      <c r="E8" s="5" t="s">
        <v>567</v>
      </c>
      <c r="F8" s="5" t="s">
        <v>1148</v>
      </c>
      <c r="G8" s="5" t="s">
        <v>566</v>
      </c>
      <c r="H8" s="147">
        <f t="shared" si="0"/>
        <v>0.46969696969696972</v>
      </c>
      <c r="I8" s="173">
        <f t="shared" si="1"/>
        <v>31</v>
      </c>
      <c r="J8" s="4">
        <v>97</v>
      </c>
      <c r="K8" s="4">
        <v>66</v>
      </c>
      <c r="L8" s="4">
        <v>66</v>
      </c>
      <c r="M8" s="4">
        <v>77</v>
      </c>
      <c r="N8" s="4">
        <v>67</v>
      </c>
      <c r="O8" s="4">
        <v>83</v>
      </c>
      <c r="P8" s="4">
        <v>81</v>
      </c>
      <c r="Q8" s="4">
        <v>77</v>
      </c>
      <c r="R8" s="4">
        <v>83</v>
      </c>
      <c r="S8" s="71">
        <v>68</v>
      </c>
    </row>
    <row r="9" spans="1:19">
      <c r="A9" s="5" t="s">
        <v>177</v>
      </c>
      <c r="B9" s="5" t="s">
        <v>546</v>
      </c>
      <c r="C9" s="67">
        <v>1060888</v>
      </c>
      <c r="D9" s="70" t="s">
        <v>565</v>
      </c>
      <c r="E9" s="5" t="s">
        <v>11</v>
      </c>
      <c r="F9" s="5" t="s">
        <v>1148</v>
      </c>
      <c r="G9" s="5" t="s">
        <v>564</v>
      </c>
      <c r="H9" s="17">
        <f t="shared" si="0"/>
        <v>6.7961165048543687E-2</v>
      </c>
      <c r="I9" s="5">
        <f t="shared" si="1"/>
        <v>14</v>
      </c>
      <c r="J9" s="4">
        <v>220</v>
      </c>
      <c r="K9" s="4">
        <v>206</v>
      </c>
      <c r="L9" s="4">
        <v>200</v>
      </c>
      <c r="M9" s="4">
        <v>400</v>
      </c>
      <c r="N9" s="4">
        <v>400</v>
      </c>
      <c r="O9" s="4">
        <v>400</v>
      </c>
      <c r="P9" s="4">
        <v>250</v>
      </c>
      <c r="Q9" s="4">
        <v>250</v>
      </c>
      <c r="R9" s="4">
        <v>150</v>
      </c>
      <c r="S9" s="71">
        <v>150</v>
      </c>
    </row>
    <row r="10" spans="1:19">
      <c r="A10" s="5" t="s">
        <v>177</v>
      </c>
      <c r="B10" s="5" t="s">
        <v>546</v>
      </c>
      <c r="C10" s="67">
        <v>1060862</v>
      </c>
      <c r="D10" s="70" t="s">
        <v>563</v>
      </c>
      <c r="E10" s="5" t="s">
        <v>562</v>
      </c>
      <c r="F10" s="5" t="s">
        <v>1148</v>
      </c>
      <c r="G10" s="5" t="s">
        <v>561</v>
      </c>
      <c r="H10" s="174">
        <f t="shared" si="0"/>
        <v>0.1891891891891892</v>
      </c>
      <c r="I10" s="173">
        <f t="shared" si="1"/>
        <v>35</v>
      </c>
      <c r="J10" s="4">
        <v>220</v>
      </c>
      <c r="K10" s="4">
        <v>185</v>
      </c>
      <c r="L10" s="4">
        <v>185</v>
      </c>
      <c r="M10" s="4">
        <v>125</v>
      </c>
      <c r="N10" s="4">
        <v>125</v>
      </c>
      <c r="O10" s="4">
        <v>150</v>
      </c>
      <c r="P10" s="4">
        <v>175</v>
      </c>
      <c r="Q10" s="4">
        <v>170</v>
      </c>
      <c r="R10" s="4">
        <v>150</v>
      </c>
      <c r="S10" s="71">
        <v>170</v>
      </c>
    </row>
    <row r="11" spans="1:19">
      <c r="A11" s="5" t="s">
        <v>177</v>
      </c>
      <c r="B11" s="5" t="s">
        <v>546</v>
      </c>
      <c r="C11" s="67">
        <v>1060854</v>
      </c>
      <c r="D11" s="70" t="s">
        <v>560</v>
      </c>
      <c r="E11" s="5" t="s">
        <v>559</v>
      </c>
      <c r="F11" s="5" t="s">
        <v>1147</v>
      </c>
      <c r="G11" s="5" t="s">
        <v>558</v>
      </c>
      <c r="H11" s="58">
        <f t="shared" si="0"/>
        <v>0</v>
      </c>
      <c r="I11" s="59">
        <f t="shared" si="1"/>
        <v>0</v>
      </c>
      <c r="J11" s="4">
        <v>40</v>
      </c>
      <c r="K11" s="4">
        <v>40</v>
      </c>
      <c r="L11" s="4">
        <v>35</v>
      </c>
      <c r="M11" s="4">
        <v>46</v>
      </c>
      <c r="N11" s="4">
        <v>45</v>
      </c>
      <c r="O11" s="4">
        <v>40</v>
      </c>
      <c r="P11" s="4">
        <v>40</v>
      </c>
      <c r="Q11" s="4">
        <v>58</v>
      </c>
      <c r="R11" s="4">
        <v>58</v>
      </c>
      <c r="S11" s="71">
        <v>58</v>
      </c>
    </row>
    <row r="12" spans="1:19">
      <c r="A12" s="5" t="s">
        <v>177</v>
      </c>
      <c r="B12" s="5" t="s">
        <v>546</v>
      </c>
      <c r="C12" s="67">
        <v>1060847</v>
      </c>
      <c r="D12" s="70" t="s">
        <v>557</v>
      </c>
      <c r="E12" s="5" t="s">
        <v>11</v>
      </c>
      <c r="F12" s="5" t="s">
        <v>1148</v>
      </c>
      <c r="G12" s="5" t="s">
        <v>556</v>
      </c>
      <c r="H12" s="174">
        <f t="shared" si="0"/>
        <v>0.36363636363636365</v>
      </c>
      <c r="I12" s="173">
        <f t="shared" si="1"/>
        <v>32</v>
      </c>
      <c r="J12" s="4">
        <v>120</v>
      </c>
      <c r="K12" s="4">
        <v>88</v>
      </c>
      <c r="L12" s="4">
        <v>88</v>
      </c>
      <c r="M12" s="4">
        <v>88</v>
      </c>
      <c r="N12" s="4">
        <v>45</v>
      </c>
      <c r="O12" s="4">
        <v>45</v>
      </c>
      <c r="P12" s="4">
        <v>45</v>
      </c>
      <c r="Q12" s="4">
        <v>59</v>
      </c>
      <c r="R12" s="4">
        <v>55</v>
      </c>
      <c r="S12" s="71">
        <v>50</v>
      </c>
    </row>
    <row r="13" spans="1:19">
      <c r="A13" s="5" t="s">
        <v>177</v>
      </c>
      <c r="B13" s="5" t="s">
        <v>546</v>
      </c>
      <c r="C13" s="67">
        <v>1060839</v>
      </c>
      <c r="D13" s="70" t="s">
        <v>555</v>
      </c>
      <c r="E13" s="5" t="s">
        <v>554</v>
      </c>
      <c r="F13" s="5" t="s">
        <v>1148</v>
      </c>
      <c r="G13" s="5" t="s">
        <v>553</v>
      </c>
      <c r="H13" s="149">
        <f t="shared" si="0"/>
        <v>-0.14285714285714285</v>
      </c>
      <c r="I13" s="150">
        <f t="shared" si="1"/>
        <v>-25</v>
      </c>
      <c r="J13" s="4">
        <v>150</v>
      </c>
      <c r="K13" s="4">
        <v>175</v>
      </c>
      <c r="L13" s="4">
        <v>175</v>
      </c>
      <c r="M13" s="4">
        <v>125</v>
      </c>
      <c r="N13" s="4">
        <v>125</v>
      </c>
      <c r="O13" s="4">
        <v>125</v>
      </c>
      <c r="P13" s="4">
        <v>105</v>
      </c>
      <c r="Q13" s="4">
        <v>105</v>
      </c>
      <c r="R13" s="4">
        <v>80</v>
      </c>
      <c r="S13" s="71">
        <v>75</v>
      </c>
    </row>
    <row r="14" spans="1:19">
      <c r="A14" s="5" t="s">
        <v>177</v>
      </c>
      <c r="B14" s="5" t="s">
        <v>546</v>
      </c>
      <c r="C14" s="67">
        <v>1060656</v>
      </c>
      <c r="D14" s="70" t="s">
        <v>552</v>
      </c>
      <c r="E14" s="5" t="s">
        <v>11</v>
      </c>
      <c r="F14" s="5" t="s">
        <v>1148</v>
      </c>
      <c r="G14" s="5" t="s">
        <v>551</v>
      </c>
      <c r="H14" s="149">
        <f t="shared" si="0"/>
        <v>-4.9535603715170282E-2</v>
      </c>
      <c r="I14" s="150">
        <f t="shared" si="1"/>
        <v>-16</v>
      </c>
      <c r="J14" s="4">
        <v>307</v>
      </c>
      <c r="K14" s="4">
        <v>323</v>
      </c>
      <c r="L14" s="4">
        <v>323</v>
      </c>
      <c r="M14" s="4">
        <v>323</v>
      </c>
      <c r="N14" s="4">
        <v>357</v>
      </c>
      <c r="O14" s="4">
        <v>344</v>
      </c>
      <c r="P14" s="4">
        <v>333</v>
      </c>
      <c r="Q14" s="4">
        <v>441</v>
      </c>
      <c r="R14" s="4">
        <v>359</v>
      </c>
      <c r="S14" s="71">
        <v>356</v>
      </c>
    </row>
    <row r="15" spans="1:19">
      <c r="A15" s="5" t="s">
        <v>177</v>
      </c>
      <c r="B15" s="5" t="s">
        <v>546</v>
      </c>
      <c r="C15" s="67">
        <v>1060540</v>
      </c>
      <c r="D15" s="70" t="s">
        <v>550</v>
      </c>
      <c r="E15" s="5" t="s">
        <v>11</v>
      </c>
      <c r="F15" s="5" t="s">
        <v>1148</v>
      </c>
      <c r="G15" s="5" t="s">
        <v>549</v>
      </c>
      <c r="H15" s="58">
        <f t="shared" si="0"/>
        <v>0</v>
      </c>
      <c r="I15" s="59">
        <f t="shared" si="1"/>
        <v>0</v>
      </c>
      <c r="J15" s="148">
        <v>900</v>
      </c>
      <c r="K15" s="4">
        <v>900</v>
      </c>
      <c r="L15" s="4">
        <v>900</v>
      </c>
      <c r="M15" s="4">
        <v>900</v>
      </c>
      <c r="N15" s="4">
        <v>970</v>
      </c>
      <c r="O15" s="4">
        <v>970</v>
      </c>
      <c r="P15" s="4">
        <v>970</v>
      </c>
      <c r="Q15" s="4">
        <v>970</v>
      </c>
      <c r="R15" s="4">
        <v>880</v>
      </c>
      <c r="S15" s="71">
        <v>1000</v>
      </c>
    </row>
    <row r="16" spans="1:19">
      <c r="A16" s="5" t="s">
        <v>177</v>
      </c>
      <c r="B16" s="5" t="s">
        <v>546</v>
      </c>
      <c r="C16" s="67">
        <v>1060342</v>
      </c>
      <c r="D16" s="70" t="s">
        <v>75</v>
      </c>
      <c r="E16" s="5" t="s">
        <v>548</v>
      </c>
      <c r="F16" s="5" t="s">
        <v>1148</v>
      </c>
      <c r="G16" s="5" t="s">
        <v>547</v>
      </c>
      <c r="H16" s="149">
        <f t="shared" si="0"/>
        <v>-0.18421052631578946</v>
      </c>
      <c r="I16" s="150">
        <f t="shared" si="1"/>
        <v>-14</v>
      </c>
      <c r="J16" s="4">
        <v>62</v>
      </c>
      <c r="K16" s="4">
        <v>76</v>
      </c>
      <c r="L16" s="4">
        <v>76</v>
      </c>
      <c r="M16" s="4">
        <v>55</v>
      </c>
      <c r="N16" s="4">
        <v>44</v>
      </c>
      <c r="O16" s="4">
        <v>44</v>
      </c>
      <c r="P16" s="4">
        <v>40</v>
      </c>
      <c r="Q16" s="4">
        <v>36</v>
      </c>
      <c r="R16" s="4">
        <v>36</v>
      </c>
      <c r="S16" s="71">
        <v>35</v>
      </c>
    </row>
    <row r="17" spans="1:19">
      <c r="A17" s="5" t="s">
        <v>177</v>
      </c>
      <c r="B17" s="5" t="s">
        <v>546</v>
      </c>
      <c r="C17" s="67">
        <v>1060235</v>
      </c>
      <c r="D17" s="70" t="s">
        <v>25</v>
      </c>
      <c r="E17" s="5" t="s">
        <v>545</v>
      </c>
      <c r="F17" s="5" t="s">
        <v>1148</v>
      </c>
      <c r="G17" s="5" t="s">
        <v>544</v>
      </c>
      <c r="H17" s="149">
        <f t="shared" si="0"/>
        <v>0.12121212121212122</v>
      </c>
      <c r="I17" s="150">
        <f t="shared" si="1"/>
        <v>20</v>
      </c>
      <c r="J17" s="54">
        <v>185</v>
      </c>
      <c r="K17" s="54">
        <v>165</v>
      </c>
      <c r="L17" s="54">
        <v>162</v>
      </c>
      <c r="M17" s="54">
        <v>160</v>
      </c>
      <c r="N17" s="54">
        <v>159</v>
      </c>
      <c r="O17" s="54">
        <v>159</v>
      </c>
      <c r="P17" s="54">
        <v>158</v>
      </c>
      <c r="Q17" s="54">
        <v>110</v>
      </c>
      <c r="R17" s="54">
        <v>112</v>
      </c>
      <c r="S17" s="145">
        <v>110</v>
      </c>
    </row>
    <row r="18" spans="1:19" ht="15" thickBot="1">
      <c r="D18" s="72" t="str">
        <f>"Church Count: "&amp;COUNTA(D5:D17)</f>
        <v>Church Count: 13</v>
      </c>
      <c r="E18" s="49"/>
      <c r="F18" s="49"/>
      <c r="G18" s="151" t="s">
        <v>1207</v>
      </c>
      <c r="H18" s="17"/>
      <c r="I18" s="5"/>
      <c r="J18" s="201">
        <f t="shared" ref="J18:S18" si="2">SUM(J5:J17)</f>
        <v>2486</v>
      </c>
      <c r="K18" s="197">
        <f t="shared" si="2"/>
        <v>2417</v>
      </c>
      <c r="L18" s="197">
        <f t="shared" si="2"/>
        <v>2371</v>
      </c>
      <c r="M18" s="197">
        <f t="shared" si="2"/>
        <v>2448</v>
      </c>
      <c r="N18" s="197">
        <f t="shared" si="2"/>
        <v>2477</v>
      </c>
      <c r="O18" s="197">
        <f t="shared" si="2"/>
        <v>2504</v>
      </c>
      <c r="P18" s="197">
        <f t="shared" si="2"/>
        <v>2361</v>
      </c>
      <c r="Q18" s="197">
        <f t="shared" si="2"/>
        <v>2450</v>
      </c>
      <c r="R18" s="197">
        <f t="shared" si="2"/>
        <v>2146</v>
      </c>
      <c r="S18" s="198">
        <f t="shared" si="2"/>
        <v>2256</v>
      </c>
    </row>
    <row r="19" spans="1:19" ht="15" thickTop="1">
      <c r="D19" s="152" t="s">
        <v>1180</v>
      </c>
      <c r="E19" s="49"/>
      <c r="F19" s="49"/>
      <c r="G19" s="151" t="s">
        <v>1208</v>
      </c>
      <c r="H19" s="49"/>
      <c r="I19" s="49"/>
      <c r="J19" s="49">
        <f>J18-K18</f>
        <v>69</v>
      </c>
      <c r="K19" s="49"/>
      <c r="L19" s="49"/>
      <c r="M19" s="49"/>
      <c r="N19" s="49"/>
      <c r="O19" s="49"/>
      <c r="P19" s="49"/>
      <c r="Q19" s="49"/>
      <c r="R19" s="49"/>
      <c r="S19" s="50"/>
    </row>
    <row r="20" spans="1:19">
      <c r="D20" s="153" t="s">
        <v>1181</v>
      </c>
      <c r="E20" s="146"/>
      <c r="F20" s="146"/>
      <c r="G20" s="151" t="s">
        <v>1209</v>
      </c>
      <c r="H20" s="49"/>
      <c r="I20" s="49"/>
      <c r="J20" s="169">
        <f>(J18-K18)/ABS(K18)</f>
        <v>2.8547786512205214E-2</v>
      </c>
      <c r="K20" s="49"/>
      <c r="L20" s="49"/>
      <c r="M20" s="49"/>
      <c r="N20" s="49"/>
      <c r="O20" s="49"/>
      <c r="P20" s="49"/>
      <c r="Q20" s="49"/>
      <c r="R20" s="49"/>
      <c r="S20" s="50"/>
    </row>
    <row r="21" spans="1:19">
      <c r="D21" s="170" t="s">
        <v>1210</v>
      </c>
      <c r="E21" s="49"/>
      <c r="F21" s="49"/>
      <c r="G21" s="218" t="s">
        <v>1219</v>
      </c>
      <c r="H21" s="49"/>
      <c r="I21" s="49"/>
      <c r="J21" s="222">
        <f>J18-S18</f>
        <v>230</v>
      </c>
      <c r="K21" s="49"/>
      <c r="L21" s="49"/>
      <c r="M21" s="49"/>
      <c r="N21" s="49"/>
      <c r="O21" s="49"/>
      <c r="P21" s="49"/>
      <c r="Q21" s="49"/>
      <c r="R21" s="49"/>
      <c r="S21" s="50"/>
    </row>
    <row r="22" spans="1:19">
      <c r="D22" s="154" t="s">
        <v>1182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2"/>
    </row>
  </sheetData>
  <mergeCells count="1">
    <mergeCell ref="D1:S1"/>
  </mergeCells>
  <printOptions horizontalCentered="1"/>
  <pageMargins left="0.7" right="0.7" top="0.75" bottom="0.75" header="0.3" footer="0.3"/>
  <pageSetup scale="73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enableFormatConditionsCalculation="0">
    <pageSetUpPr fitToPage="1"/>
  </sheetPr>
  <dimension ref="A1:S22"/>
  <sheetViews>
    <sheetView topLeftCell="D1" workbookViewId="0">
      <selection activeCell="J19" sqref="J19"/>
    </sheetView>
  </sheetViews>
  <sheetFormatPr baseColWidth="10" defaultColWidth="8.83203125" defaultRowHeight="14" x14ac:dyDescent="0"/>
  <cols>
    <col min="1" max="1" width="13.1640625" style="3" hidden="1" customWidth="1"/>
    <col min="2" max="2" width="22.6640625" style="3" hidden="1" customWidth="1"/>
    <col min="3" max="3" width="8.1640625" style="3" hidden="1" customWidth="1"/>
    <col min="4" max="4" width="48.5" style="3" bestFit="1" customWidth="1"/>
    <col min="5" max="5" width="17" style="3" bestFit="1" customWidth="1"/>
    <col min="6" max="6" width="10" style="3" bestFit="1" customWidth="1"/>
    <col min="7" max="7" width="22.1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North West Forth Worth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177</v>
      </c>
      <c r="B5" s="5" t="s">
        <v>577</v>
      </c>
      <c r="C5" s="67">
        <v>1900505</v>
      </c>
      <c r="D5" s="70" t="s">
        <v>603</v>
      </c>
      <c r="E5" s="5" t="s">
        <v>127</v>
      </c>
      <c r="F5" s="5" t="s">
        <v>1148</v>
      </c>
      <c r="G5" s="5" t="s">
        <v>602</v>
      </c>
      <c r="H5" s="58">
        <f>(J5-K5)/ABS(K5)</f>
        <v>0</v>
      </c>
      <c r="I5" s="59">
        <f>J5-K5</f>
        <v>0</v>
      </c>
      <c r="J5" s="4">
        <v>300</v>
      </c>
      <c r="K5" s="4">
        <v>300</v>
      </c>
      <c r="L5" s="4">
        <v>300</v>
      </c>
      <c r="M5" s="4">
        <v>300</v>
      </c>
      <c r="N5" s="4">
        <v>300</v>
      </c>
      <c r="O5" s="4">
        <v>300</v>
      </c>
      <c r="P5" s="4">
        <v>300</v>
      </c>
      <c r="Q5" s="4">
        <v>300</v>
      </c>
      <c r="R5" s="4">
        <v>175</v>
      </c>
      <c r="S5" s="71">
        <v>175</v>
      </c>
    </row>
    <row r="6" spans="1:19">
      <c r="A6" s="5" t="s">
        <v>177</v>
      </c>
      <c r="B6" s="5" t="s">
        <v>577</v>
      </c>
      <c r="C6" s="67">
        <v>1406073</v>
      </c>
      <c r="D6" s="70" t="s">
        <v>601</v>
      </c>
      <c r="E6" s="5" t="s">
        <v>11</v>
      </c>
      <c r="F6" s="5" t="s">
        <v>1148</v>
      </c>
      <c r="G6" s="5" t="s">
        <v>600</v>
      </c>
      <c r="H6" s="58">
        <f t="shared" ref="H6:H17" si="0">(J6-K6)/ABS(K6)</f>
        <v>0</v>
      </c>
      <c r="I6" s="59">
        <f t="shared" ref="I6:I17" si="1">J6-K6</f>
        <v>0</v>
      </c>
      <c r="J6" s="4">
        <v>115</v>
      </c>
      <c r="K6" s="4">
        <v>115</v>
      </c>
      <c r="L6" s="4">
        <v>140</v>
      </c>
      <c r="M6" s="4">
        <v>140</v>
      </c>
      <c r="N6" s="4">
        <v>125</v>
      </c>
      <c r="O6" s="4">
        <v>125</v>
      </c>
      <c r="P6" s="4">
        <v>125</v>
      </c>
      <c r="Q6" s="4">
        <v>100</v>
      </c>
      <c r="R6" s="4">
        <v>100</v>
      </c>
      <c r="S6" s="71">
        <v>120</v>
      </c>
    </row>
    <row r="7" spans="1:19">
      <c r="A7" s="5" t="s">
        <v>177</v>
      </c>
      <c r="B7" s="5" t="s">
        <v>577</v>
      </c>
      <c r="C7" s="67">
        <v>1330349</v>
      </c>
      <c r="D7" s="70" t="s">
        <v>599</v>
      </c>
      <c r="E7" s="5" t="s">
        <v>11</v>
      </c>
      <c r="F7" s="5" t="s">
        <v>1147</v>
      </c>
      <c r="G7" s="5" t="s">
        <v>598</v>
      </c>
      <c r="H7" s="147">
        <f t="shared" si="0"/>
        <v>0.44444444444444442</v>
      </c>
      <c r="I7" s="173">
        <f t="shared" si="1"/>
        <v>40</v>
      </c>
      <c r="J7" s="4">
        <v>130</v>
      </c>
      <c r="K7" s="4">
        <v>90</v>
      </c>
      <c r="L7" s="4">
        <v>45</v>
      </c>
      <c r="M7" s="4">
        <v>45</v>
      </c>
      <c r="N7" s="4">
        <v>18</v>
      </c>
      <c r="O7" s="49"/>
      <c r="P7" s="49"/>
      <c r="Q7" s="49"/>
      <c r="R7" s="49"/>
      <c r="S7" s="50"/>
    </row>
    <row r="8" spans="1:19">
      <c r="A8" s="5" t="s">
        <v>177</v>
      </c>
      <c r="B8" s="5" t="s">
        <v>577</v>
      </c>
      <c r="C8" s="67">
        <v>1147107</v>
      </c>
      <c r="D8" s="70" t="s">
        <v>597</v>
      </c>
      <c r="E8" s="5" t="s">
        <v>11</v>
      </c>
      <c r="F8" s="5" t="s">
        <v>1147</v>
      </c>
      <c r="G8" s="5" t="s">
        <v>596</v>
      </c>
      <c r="H8" s="149">
        <f t="shared" si="0"/>
        <v>-0.44444444444444442</v>
      </c>
      <c r="I8" s="150">
        <f t="shared" si="1"/>
        <v>-40</v>
      </c>
      <c r="J8" s="4">
        <v>50</v>
      </c>
      <c r="K8" s="4">
        <v>90</v>
      </c>
      <c r="L8" s="4">
        <v>95</v>
      </c>
      <c r="M8" s="4">
        <v>110</v>
      </c>
      <c r="N8" s="4">
        <v>100</v>
      </c>
      <c r="O8" s="4">
        <v>100</v>
      </c>
      <c r="P8" s="4">
        <v>100</v>
      </c>
      <c r="Q8" s="4">
        <v>100</v>
      </c>
      <c r="R8" s="4">
        <v>80</v>
      </c>
      <c r="S8" s="71">
        <v>40</v>
      </c>
    </row>
    <row r="9" spans="1:19">
      <c r="A9" s="5" t="s">
        <v>177</v>
      </c>
      <c r="B9" s="5" t="s">
        <v>577</v>
      </c>
      <c r="C9" s="67">
        <v>1111160</v>
      </c>
      <c r="D9" s="70" t="s">
        <v>218</v>
      </c>
      <c r="E9" s="5" t="s">
        <v>11</v>
      </c>
      <c r="F9" s="5" t="s">
        <v>1148</v>
      </c>
      <c r="G9" s="5" t="s">
        <v>595</v>
      </c>
      <c r="H9" s="58">
        <f t="shared" si="0"/>
        <v>0</v>
      </c>
      <c r="I9" s="59">
        <f t="shared" si="1"/>
        <v>0</v>
      </c>
      <c r="J9" s="4">
        <v>80</v>
      </c>
      <c r="K9" s="4">
        <v>80</v>
      </c>
      <c r="L9" s="4">
        <v>80</v>
      </c>
      <c r="M9" s="4">
        <v>80</v>
      </c>
      <c r="N9" s="4">
        <v>80</v>
      </c>
      <c r="O9" s="4">
        <v>88</v>
      </c>
      <c r="P9" s="4">
        <v>85</v>
      </c>
      <c r="Q9" s="4">
        <v>88</v>
      </c>
      <c r="R9" s="4">
        <v>85</v>
      </c>
      <c r="S9" s="71">
        <v>110</v>
      </c>
    </row>
    <row r="10" spans="1:19">
      <c r="A10" s="5" t="s">
        <v>177</v>
      </c>
      <c r="B10" s="5" t="s">
        <v>577</v>
      </c>
      <c r="C10" s="67">
        <v>1060961</v>
      </c>
      <c r="D10" s="70" t="s">
        <v>594</v>
      </c>
      <c r="E10" s="5" t="s">
        <v>591</v>
      </c>
      <c r="F10" s="5" t="s">
        <v>1147</v>
      </c>
      <c r="G10" s="5" t="s">
        <v>593</v>
      </c>
      <c r="H10" s="58">
        <f t="shared" si="0"/>
        <v>0</v>
      </c>
      <c r="I10" s="59">
        <f t="shared" si="1"/>
        <v>0</v>
      </c>
      <c r="J10" s="4">
        <v>62</v>
      </c>
      <c r="K10" s="4">
        <v>62</v>
      </c>
      <c r="L10" s="4">
        <v>55</v>
      </c>
      <c r="M10" s="4">
        <v>45</v>
      </c>
      <c r="N10" s="4">
        <v>27</v>
      </c>
      <c r="O10" s="4">
        <v>27</v>
      </c>
      <c r="P10" s="4">
        <v>30</v>
      </c>
      <c r="Q10" s="4">
        <v>37</v>
      </c>
      <c r="R10" s="4">
        <v>30</v>
      </c>
      <c r="S10" s="71">
        <v>50</v>
      </c>
    </row>
    <row r="11" spans="1:19">
      <c r="A11" s="5" t="s">
        <v>177</v>
      </c>
      <c r="B11" s="5" t="s">
        <v>577</v>
      </c>
      <c r="C11" s="67">
        <v>1060797</v>
      </c>
      <c r="D11" s="70" t="s">
        <v>592</v>
      </c>
      <c r="E11" s="5" t="s">
        <v>591</v>
      </c>
      <c r="F11" s="5" t="s">
        <v>1148</v>
      </c>
      <c r="G11" s="5" t="s">
        <v>590</v>
      </c>
      <c r="H11" s="58">
        <f t="shared" si="0"/>
        <v>0</v>
      </c>
      <c r="I11" s="59">
        <f t="shared" si="1"/>
        <v>0</v>
      </c>
      <c r="J11" s="4">
        <v>75</v>
      </c>
      <c r="K11" s="4">
        <v>75</v>
      </c>
      <c r="L11" s="4">
        <v>75</v>
      </c>
      <c r="M11" s="4">
        <v>70</v>
      </c>
      <c r="N11" s="4">
        <v>110</v>
      </c>
      <c r="O11" s="4">
        <v>157</v>
      </c>
      <c r="P11" s="4">
        <v>157</v>
      </c>
      <c r="Q11" s="4">
        <v>140</v>
      </c>
      <c r="R11" s="4">
        <v>140</v>
      </c>
      <c r="S11" s="71">
        <v>140</v>
      </c>
    </row>
    <row r="12" spans="1:19">
      <c r="A12" s="5" t="s">
        <v>177</v>
      </c>
      <c r="B12" s="5" t="s">
        <v>577</v>
      </c>
      <c r="C12" s="67">
        <v>1060714</v>
      </c>
      <c r="D12" s="70" t="s">
        <v>589</v>
      </c>
      <c r="E12" s="5" t="s">
        <v>11</v>
      </c>
      <c r="F12" s="5" t="s">
        <v>1147</v>
      </c>
      <c r="G12" s="5" t="s">
        <v>588</v>
      </c>
      <c r="H12" s="58">
        <f t="shared" si="0"/>
        <v>0</v>
      </c>
      <c r="I12" s="59">
        <f t="shared" si="1"/>
        <v>0</v>
      </c>
      <c r="J12" s="148">
        <v>800</v>
      </c>
      <c r="K12" s="4">
        <v>800</v>
      </c>
      <c r="L12" s="4">
        <v>800</v>
      </c>
      <c r="M12" s="4">
        <v>800</v>
      </c>
      <c r="N12" s="4">
        <v>1000</v>
      </c>
      <c r="O12" s="4">
        <v>1000</v>
      </c>
      <c r="P12" s="4">
        <v>1000</v>
      </c>
      <c r="Q12" s="4">
        <v>1000</v>
      </c>
      <c r="R12" s="4">
        <v>1000</v>
      </c>
      <c r="S12" s="71">
        <v>1000</v>
      </c>
    </row>
    <row r="13" spans="1:19">
      <c r="A13" s="5" t="s">
        <v>177</v>
      </c>
      <c r="B13" s="5" t="s">
        <v>577</v>
      </c>
      <c r="C13" s="67">
        <v>1060706</v>
      </c>
      <c r="D13" s="70" t="s">
        <v>587</v>
      </c>
      <c r="E13" s="5" t="s">
        <v>586</v>
      </c>
      <c r="F13" s="5" t="s">
        <v>1148</v>
      </c>
      <c r="G13" s="5" t="s">
        <v>585</v>
      </c>
      <c r="H13" s="58">
        <f t="shared" si="0"/>
        <v>0</v>
      </c>
      <c r="I13" s="59">
        <f t="shared" si="1"/>
        <v>0</v>
      </c>
      <c r="J13" s="4">
        <v>50</v>
      </c>
      <c r="K13" s="4">
        <v>50</v>
      </c>
      <c r="L13" s="4">
        <v>40</v>
      </c>
      <c r="M13" s="4">
        <v>40</v>
      </c>
      <c r="N13" s="4">
        <v>30</v>
      </c>
      <c r="O13" s="4">
        <v>35</v>
      </c>
      <c r="P13" s="4">
        <v>40</v>
      </c>
      <c r="Q13" s="4">
        <v>35</v>
      </c>
      <c r="R13" s="4">
        <v>45</v>
      </c>
      <c r="S13" s="71">
        <v>50</v>
      </c>
    </row>
    <row r="14" spans="1:19">
      <c r="A14" s="5" t="s">
        <v>177</v>
      </c>
      <c r="B14" s="5" t="s">
        <v>577</v>
      </c>
      <c r="C14" s="67">
        <v>1060672</v>
      </c>
      <c r="D14" s="70" t="s">
        <v>584</v>
      </c>
      <c r="E14" s="5" t="s">
        <v>11</v>
      </c>
      <c r="F14" s="5" t="s">
        <v>1148</v>
      </c>
      <c r="G14" s="5" t="s">
        <v>583</v>
      </c>
      <c r="H14" s="149">
        <f t="shared" si="0"/>
        <v>-9.0909090909090912E-2</v>
      </c>
      <c r="I14" s="150">
        <f t="shared" si="1"/>
        <v>-5</v>
      </c>
      <c r="J14" s="4">
        <v>50</v>
      </c>
      <c r="K14" s="4">
        <v>55</v>
      </c>
      <c r="L14" s="4">
        <v>50</v>
      </c>
      <c r="M14" s="4">
        <v>50</v>
      </c>
      <c r="N14" s="4">
        <v>50</v>
      </c>
      <c r="O14" s="4">
        <v>50</v>
      </c>
      <c r="P14" s="4">
        <v>50</v>
      </c>
      <c r="Q14" s="4">
        <v>60</v>
      </c>
      <c r="R14" s="4">
        <v>70</v>
      </c>
      <c r="S14" s="71">
        <v>70</v>
      </c>
    </row>
    <row r="15" spans="1:19">
      <c r="A15" s="5" t="s">
        <v>177</v>
      </c>
      <c r="B15" s="5" t="s">
        <v>577</v>
      </c>
      <c r="C15" s="67">
        <v>1060623</v>
      </c>
      <c r="D15" s="70" t="s">
        <v>582</v>
      </c>
      <c r="E15" s="5" t="s">
        <v>11</v>
      </c>
      <c r="F15" s="5" t="s">
        <v>1148</v>
      </c>
      <c r="G15" s="5" t="s">
        <v>581</v>
      </c>
      <c r="H15" s="149">
        <f t="shared" si="0"/>
        <v>-3.4883720930232558E-2</v>
      </c>
      <c r="I15" s="150">
        <f t="shared" si="1"/>
        <v>-6</v>
      </c>
      <c r="J15" s="4">
        <v>166</v>
      </c>
      <c r="K15" s="4">
        <v>172</v>
      </c>
      <c r="L15" s="4">
        <v>150</v>
      </c>
      <c r="M15" s="4">
        <v>253</v>
      </c>
      <c r="N15" s="4">
        <v>350</v>
      </c>
      <c r="O15" s="4">
        <v>429</v>
      </c>
      <c r="P15" s="4">
        <v>271</v>
      </c>
      <c r="Q15" s="4">
        <v>171</v>
      </c>
      <c r="R15" s="4">
        <v>342</v>
      </c>
      <c r="S15" s="71">
        <v>439</v>
      </c>
    </row>
    <row r="16" spans="1:19">
      <c r="A16" s="5" t="s">
        <v>177</v>
      </c>
      <c r="B16" s="5" t="s">
        <v>577</v>
      </c>
      <c r="C16" s="67">
        <v>1060490</v>
      </c>
      <c r="D16" s="70" t="s">
        <v>580</v>
      </c>
      <c r="E16" s="5" t="s">
        <v>579</v>
      </c>
      <c r="F16" s="5" t="s">
        <v>1148</v>
      </c>
      <c r="G16" s="5" t="s">
        <v>578</v>
      </c>
      <c r="H16" s="58">
        <f t="shared" si="0"/>
        <v>0</v>
      </c>
      <c r="I16" s="59">
        <f t="shared" si="1"/>
        <v>0</v>
      </c>
      <c r="J16" s="4">
        <v>200</v>
      </c>
      <c r="K16" s="4">
        <v>200</v>
      </c>
      <c r="L16" s="4">
        <v>165</v>
      </c>
      <c r="M16" s="4">
        <v>120</v>
      </c>
      <c r="N16" s="4">
        <v>120</v>
      </c>
      <c r="O16" s="4">
        <v>100</v>
      </c>
      <c r="P16" s="4">
        <v>100</v>
      </c>
      <c r="Q16" s="4">
        <v>110</v>
      </c>
      <c r="R16" s="4">
        <v>70</v>
      </c>
      <c r="S16" s="71">
        <v>85</v>
      </c>
    </row>
    <row r="17" spans="1:19">
      <c r="A17" s="5" t="s">
        <v>177</v>
      </c>
      <c r="B17" s="5" t="s">
        <v>577</v>
      </c>
      <c r="C17" s="67">
        <v>1060094</v>
      </c>
      <c r="D17" s="70" t="s">
        <v>576</v>
      </c>
      <c r="E17" s="5" t="s">
        <v>127</v>
      </c>
      <c r="F17" s="5" t="s">
        <v>1148</v>
      </c>
      <c r="G17" s="5" t="s">
        <v>575</v>
      </c>
      <c r="H17" s="174">
        <f t="shared" si="0"/>
        <v>0.1111111111111111</v>
      </c>
      <c r="I17" s="173">
        <f t="shared" si="1"/>
        <v>10</v>
      </c>
      <c r="J17" s="54">
        <v>100</v>
      </c>
      <c r="K17" s="54">
        <v>90</v>
      </c>
      <c r="L17" s="54">
        <v>95</v>
      </c>
      <c r="M17" s="54">
        <v>75</v>
      </c>
      <c r="N17" s="54">
        <v>100</v>
      </c>
      <c r="O17" s="54">
        <v>100</v>
      </c>
      <c r="P17" s="54">
        <v>100</v>
      </c>
      <c r="Q17" s="54">
        <v>122</v>
      </c>
      <c r="R17" s="54">
        <v>140</v>
      </c>
      <c r="S17" s="145">
        <v>136</v>
      </c>
    </row>
    <row r="18" spans="1:19" ht="15" thickBot="1">
      <c r="D18" s="72" t="str">
        <f>"Church Count: "&amp;COUNTA(D5:D17)</f>
        <v>Church Count: 13</v>
      </c>
      <c r="E18" s="49"/>
      <c r="F18" s="49"/>
      <c r="G18" s="151" t="s">
        <v>1207</v>
      </c>
      <c r="H18" s="17"/>
      <c r="I18" s="5"/>
      <c r="J18" s="201">
        <f t="shared" ref="J18:S18" si="2">SUM(J5:J17)</f>
        <v>2178</v>
      </c>
      <c r="K18" s="197">
        <f t="shared" si="2"/>
        <v>2179</v>
      </c>
      <c r="L18" s="197">
        <f t="shared" si="2"/>
        <v>2090</v>
      </c>
      <c r="M18" s="197">
        <f t="shared" si="2"/>
        <v>2128</v>
      </c>
      <c r="N18" s="197">
        <f t="shared" si="2"/>
        <v>2410</v>
      </c>
      <c r="O18" s="197">
        <f t="shared" si="2"/>
        <v>2511</v>
      </c>
      <c r="P18" s="197">
        <f t="shared" si="2"/>
        <v>2358</v>
      </c>
      <c r="Q18" s="197">
        <f t="shared" si="2"/>
        <v>2263</v>
      </c>
      <c r="R18" s="197">
        <f t="shared" si="2"/>
        <v>2277</v>
      </c>
      <c r="S18" s="198">
        <f t="shared" si="2"/>
        <v>2415</v>
      </c>
    </row>
    <row r="19" spans="1:19" ht="15" thickTop="1">
      <c r="D19" s="152" t="s">
        <v>1180</v>
      </c>
      <c r="E19" s="49"/>
      <c r="F19" s="49"/>
      <c r="G19" s="151" t="s">
        <v>1208</v>
      </c>
      <c r="H19" s="49"/>
      <c r="I19" s="49"/>
      <c r="J19" s="205">
        <f>J18-K18</f>
        <v>-1</v>
      </c>
      <c r="K19" s="49"/>
      <c r="L19" s="49"/>
      <c r="M19" s="49"/>
      <c r="N19" s="49"/>
      <c r="O19" s="49"/>
      <c r="P19" s="49"/>
      <c r="Q19" s="49"/>
      <c r="R19" s="49"/>
      <c r="S19" s="50"/>
    </row>
    <row r="20" spans="1:19">
      <c r="D20" s="153" t="s">
        <v>1181</v>
      </c>
      <c r="E20" s="146"/>
      <c r="F20" s="146"/>
      <c r="G20" s="151" t="s">
        <v>1209</v>
      </c>
      <c r="H20" s="49"/>
      <c r="I20" s="49"/>
      <c r="J20" s="169">
        <f>(J18-K18)/ABS(K18)</f>
        <v>-4.5892611289582378E-4</v>
      </c>
      <c r="K20" s="49"/>
      <c r="L20" s="49"/>
      <c r="M20" s="49"/>
      <c r="N20" s="49"/>
      <c r="O20" s="49"/>
      <c r="P20" s="49"/>
      <c r="Q20" s="49"/>
      <c r="R20" s="49"/>
      <c r="S20" s="50"/>
    </row>
    <row r="21" spans="1:19">
      <c r="D21" s="170" t="s">
        <v>1210</v>
      </c>
      <c r="E21" s="49"/>
      <c r="F21" s="49"/>
      <c r="G21" s="218" t="s">
        <v>1219</v>
      </c>
      <c r="H21" s="49"/>
      <c r="I21" s="49"/>
      <c r="J21" s="221">
        <f>J18-S18</f>
        <v>-237</v>
      </c>
      <c r="K21" s="49"/>
      <c r="L21" s="49"/>
      <c r="M21" s="49"/>
      <c r="N21" s="49"/>
      <c r="O21" s="49"/>
      <c r="P21" s="49"/>
      <c r="Q21" s="49"/>
      <c r="R21" s="49"/>
      <c r="S21" s="50"/>
    </row>
    <row r="22" spans="1:19">
      <c r="D22" s="154" t="s">
        <v>1182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2"/>
    </row>
  </sheetData>
  <mergeCells count="1">
    <mergeCell ref="D1:S1"/>
  </mergeCells>
  <printOptions horizontalCentered="1"/>
  <pageMargins left="0.7" right="0.7" top="0.75" bottom="0.75" header="0.3" footer="0.3"/>
  <pageSetup scale="67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 enableFormatConditionsCalculation="0">
    <pageSetUpPr fitToPage="1"/>
  </sheetPr>
  <dimension ref="A1:S25"/>
  <sheetViews>
    <sheetView topLeftCell="D1" workbookViewId="0">
      <selection activeCell="J24" sqref="J24"/>
    </sheetView>
  </sheetViews>
  <sheetFormatPr baseColWidth="10" defaultColWidth="8.83203125" defaultRowHeight="14" x14ac:dyDescent="0"/>
  <cols>
    <col min="1" max="1" width="13.1640625" style="3" hidden="1" customWidth="1"/>
    <col min="2" max="2" width="7.5" style="3" hidden="1" customWidth="1"/>
    <col min="3" max="3" width="8.1640625" style="3" hidden="1" customWidth="1"/>
    <col min="4" max="4" width="40.6640625" style="3" customWidth="1"/>
    <col min="5" max="5" width="12" style="3" bestFit="1" customWidth="1"/>
    <col min="6" max="6" width="10" style="3" bestFit="1" customWidth="1"/>
    <col min="7" max="7" width="24.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Plano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177</v>
      </c>
      <c r="B5" s="5" t="s">
        <v>607</v>
      </c>
      <c r="C5" s="67">
        <v>1478015</v>
      </c>
      <c r="D5" s="70" t="s">
        <v>637</v>
      </c>
      <c r="E5" s="5" t="s">
        <v>636</v>
      </c>
      <c r="F5" s="5" t="s">
        <v>1147</v>
      </c>
      <c r="G5" s="5" t="s">
        <v>635</v>
      </c>
      <c r="H5" s="147">
        <f>(J5-K5)/ABS(K5)</f>
        <v>0.5</v>
      </c>
      <c r="I5" s="173">
        <f>J5-K5</f>
        <v>40</v>
      </c>
      <c r="J5" s="4">
        <v>120</v>
      </c>
      <c r="K5" s="4">
        <v>80</v>
      </c>
      <c r="L5" s="4">
        <v>65</v>
      </c>
      <c r="M5" s="4">
        <v>0</v>
      </c>
      <c r="N5" s="49"/>
      <c r="O5" s="49"/>
      <c r="P5" s="49"/>
      <c r="Q5" s="49"/>
      <c r="R5" s="49"/>
      <c r="S5" s="50"/>
    </row>
    <row r="6" spans="1:19">
      <c r="A6" s="5" t="s">
        <v>177</v>
      </c>
      <c r="B6" s="5" t="s">
        <v>607</v>
      </c>
      <c r="C6" s="67">
        <v>1130004</v>
      </c>
      <c r="D6" s="70" t="s">
        <v>634</v>
      </c>
      <c r="E6" s="5" t="s">
        <v>607</v>
      </c>
      <c r="F6" s="5" t="s">
        <v>1148</v>
      </c>
      <c r="G6" s="5" t="s">
        <v>633</v>
      </c>
      <c r="H6" s="149">
        <f t="shared" ref="H6:H20" si="0">(J6-K6)/ABS(K6)</f>
        <v>-0.15789473684210525</v>
      </c>
      <c r="I6" s="150">
        <f t="shared" ref="I6:I20" si="1">J6-K6</f>
        <v>-15</v>
      </c>
      <c r="J6" s="4">
        <v>80</v>
      </c>
      <c r="K6" s="4">
        <v>95</v>
      </c>
      <c r="L6" s="4">
        <v>105</v>
      </c>
      <c r="M6" s="4">
        <v>100</v>
      </c>
      <c r="N6" s="4">
        <v>60</v>
      </c>
      <c r="O6" s="4">
        <v>56</v>
      </c>
      <c r="P6" s="4">
        <v>56</v>
      </c>
      <c r="Q6" s="4">
        <v>56</v>
      </c>
      <c r="R6" s="4">
        <v>50</v>
      </c>
      <c r="S6" s="71">
        <v>80</v>
      </c>
    </row>
    <row r="7" spans="1:19">
      <c r="A7" s="5" t="s">
        <v>177</v>
      </c>
      <c r="B7" s="5" t="s">
        <v>607</v>
      </c>
      <c r="C7" s="67">
        <v>1137538</v>
      </c>
      <c r="D7" s="70" t="s">
        <v>632</v>
      </c>
      <c r="E7" s="5" t="s">
        <v>623</v>
      </c>
      <c r="F7" s="5" t="s">
        <v>1148</v>
      </c>
      <c r="G7" s="5" t="s">
        <v>631</v>
      </c>
      <c r="H7" s="58">
        <f t="shared" si="0"/>
        <v>0</v>
      </c>
      <c r="I7" s="59">
        <f t="shared" si="1"/>
        <v>0</v>
      </c>
      <c r="J7" s="4">
        <v>60</v>
      </c>
      <c r="K7" s="4">
        <v>60</v>
      </c>
      <c r="L7" s="4">
        <v>72</v>
      </c>
      <c r="M7" s="4">
        <v>85</v>
      </c>
      <c r="N7" s="4">
        <v>85</v>
      </c>
      <c r="O7" s="4">
        <v>85</v>
      </c>
      <c r="P7" s="4">
        <v>70</v>
      </c>
      <c r="Q7" s="4">
        <v>54</v>
      </c>
      <c r="R7" s="4">
        <v>37</v>
      </c>
      <c r="S7" s="71">
        <v>31</v>
      </c>
    </row>
    <row r="8" spans="1:19">
      <c r="A8" s="5" t="s">
        <v>177</v>
      </c>
      <c r="B8" s="5" t="s">
        <v>607</v>
      </c>
      <c r="C8" s="67">
        <v>1224450</v>
      </c>
      <c r="D8" s="70" t="s">
        <v>630</v>
      </c>
      <c r="E8" s="5" t="s">
        <v>620</v>
      </c>
      <c r="F8" s="5" t="s">
        <v>1147</v>
      </c>
      <c r="G8" s="5" t="s">
        <v>629</v>
      </c>
      <c r="H8" s="174">
        <f t="shared" si="0"/>
        <v>0.1111111111111111</v>
      </c>
      <c r="I8" s="173">
        <f t="shared" si="1"/>
        <v>36</v>
      </c>
      <c r="J8" s="4">
        <v>360</v>
      </c>
      <c r="K8" s="4">
        <v>324</v>
      </c>
      <c r="L8" s="4">
        <v>288</v>
      </c>
      <c r="M8" s="4">
        <v>131</v>
      </c>
      <c r="N8" s="4">
        <v>131</v>
      </c>
      <c r="O8" s="4">
        <v>0</v>
      </c>
      <c r="P8" s="49"/>
      <c r="Q8" s="49"/>
      <c r="R8" s="49"/>
      <c r="S8" s="50"/>
    </row>
    <row r="9" spans="1:19">
      <c r="A9" s="5" t="s">
        <v>177</v>
      </c>
      <c r="B9" s="5" t="s">
        <v>607</v>
      </c>
      <c r="C9" s="67">
        <v>1224872</v>
      </c>
      <c r="D9" s="70" t="s">
        <v>628</v>
      </c>
      <c r="E9" s="5" t="s">
        <v>620</v>
      </c>
      <c r="F9" s="5" t="s">
        <v>1148</v>
      </c>
      <c r="G9" s="5" t="s">
        <v>627</v>
      </c>
      <c r="H9" s="174">
        <f t="shared" si="0"/>
        <v>0.24545454545454545</v>
      </c>
      <c r="I9" s="173">
        <f t="shared" si="1"/>
        <v>27</v>
      </c>
      <c r="J9" s="4">
        <v>137</v>
      </c>
      <c r="K9" s="4">
        <v>110</v>
      </c>
      <c r="L9" s="4">
        <v>170</v>
      </c>
      <c r="M9" s="4">
        <v>126</v>
      </c>
      <c r="N9" s="4">
        <v>100</v>
      </c>
      <c r="O9" s="4">
        <v>120</v>
      </c>
      <c r="P9" s="49"/>
      <c r="Q9" s="49"/>
      <c r="R9" s="49"/>
      <c r="S9" s="50"/>
    </row>
    <row r="10" spans="1:19">
      <c r="A10" s="5" t="s">
        <v>177</v>
      </c>
      <c r="B10" s="5" t="s">
        <v>607</v>
      </c>
      <c r="C10" s="67">
        <v>1330323</v>
      </c>
      <c r="D10" s="70" t="s">
        <v>626</v>
      </c>
      <c r="E10" s="5" t="s">
        <v>8</v>
      </c>
      <c r="F10" s="5" t="s">
        <v>1148</v>
      </c>
      <c r="G10" s="5" t="s">
        <v>625</v>
      </c>
      <c r="H10" s="174">
        <f t="shared" si="0"/>
        <v>9.5238095238095233E-2</v>
      </c>
      <c r="I10" s="173">
        <f t="shared" si="1"/>
        <v>10</v>
      </c>
      <c r="J10" s="4">
        <v>115</v>
      </c>
      <c r="K10" s="4">
        <v>105</v>
      </c>
      <c r="L10" s="4">
        <v>92</v>
      </c>
      <c r="M10" s="4">
        <v>60</v>
      </c>
      <c r="N10" s="4">
        <v>50</v>
      </c>
      <c r="O10" s="49"/>
      <c r="P10" s="49"/>
      <c r="Q10" s="49"/>
      <c r="R10" s="49"/>
      <c r="S10" s="50"/>
    </row>
    <row r="11" spans="1:19">
      <c r="A11" s="5" t="s">
        <v>177</v>
      </c>
      <c r="B11" s="5" t="s">
        <v>607</v>
      </c>
      <c r="C11" s="67">
        <v>1089713</v>
      </c>
      <c r="D11" s="70" t="s">
        <v>624</v>
      </c>
      <c r="E11" s="5" t="s">
        <v>623</v>
      </c>
      <c r="F11" s="5" t="s">
        <v>1148</v>
      </c>
      <c r="G11" s="5" t="s">
        <v>622</v>
      </c>
      <c r="H11" s="174">
        <f t="shared" si="0"/>
        <v>0.43055555555555558</v>
      </c>
      <c r="I11" s="173">
        <f t="shared" si="1"/>
        <v>155</v>
      </c>
      <c r="J11" s="4">
        <v>515</v>
      </c>
      <c r="K11" s="4">
        <v>360</v>
      </c>
      <c r="L11" s="4">
        <v>250</v>
      </c>
      <c r="M11" s="4">
        <v>260</v>
      </c>
      <c r="N11" s="4">
        <v>260</v>
      </c>
      <c r="O11" s="4">
        <v>260</v>
      </c>
      <c r="P11" s="4">
        <v>300</v>
      </c>
      <c r="Q11" s="4">
        <v>225</v>
      </c>
      <c r="R11" s="4">
        <v>155</v>
      </c>
      <c r="S11" s="71">
        <v>155</v>
      </c>
    </row>
    <row r="12" spans="1:19">
      <c r="A12" s="5" t="s">
        <v>177</v>
      </c>
      <c r="B12" s="5" t="s">
        <v>607</v>
      </c>
      <c r="C12" s="67">
        <v>1458413</v>
      </c>
      <c r="D12" s="70" t="s">
        <v>621</v>
      </c>
      <c r="E12" s="5" t="s">
        <v>612</v>
      </c>
      <c r="F12" s="5" t="s">
        <v>1148</v>
      </c>
      <c r="G12" s="5" t="s">
        <v>617</v>
      </c>
      <c r="H12" s="174">
        <f t="shared" si="0"/>
        <v>0.2034037880867417</v>
      </c>
      <c r="I12" s="173">
        <f t="shared" si="1"/>
        <v>741</v>
      </c>
      <c r="J12" s="148">
        <v>4384</v>
      </c>
      <c r="K12" s="4">
        <v>3643</v>
      </c>
      <c r="L12" s="4">
        <v>2906</v>
      </c>
      <c r="M12" s="4">
        <v>2327</v>
      </c>
      <c r="N12" s="4">
        <v>1706</v>
      </c>
      <c r="O12" s="4">
        <v>1370</v>
      </c>
      <c r="P12" s="4">
        <v>1176</v>
      </c>
      <c r="Q12" s="4">
        <v>1018</v>
      </c>
      <c r="R12" s="4">
        <v>788</v>
      </c>
      <c r="S12" s="71">
        <v>480</v>
      </c>
    </row>
    <row r="13" spans="1:19">
      <c r="A13" s="5" t="s">
        <v>177</v>
      </c>
      <c r="B13" s="5" t="s">
        <v>607</v>
      </c>
      <c r="C13" s="67">
        <v>1057231</v>
      </c>
      <c r="D13" s="70" t="s">
        <v>25</v>
      </c>
      <c r="E13" s="5" t="s">
        <v>620</v>
      </c>
      <c r="F13" s="5" t="s">
        <v>1147</v>
      </c>
      <c r="G13" s="5" t="s">
        <v>619</v>
      </c>
      <c r="H13" s="174">
        <f t="shared" si="0"/>
        <v>0.1111111111111111</v>
      </c>
      <c r="I13" s="173">
        <f t="shared" si="1"/>
        <v>5</v>
      </c>
      <c r="J13" s="4">
        <v>50</v>
      </c>
      <c r="K13" s="4">
        <v>45</v>
      </c>
      <c r="L13" s="4">
        <v>52</v>
      </c>
      <c r="M13" s="4">
        <v>43</v>
      </c>
      <c r="N13" s="4">
        <v>50</v>
      </c>
      <c r="O13" s="4">
        <v>55</v>
      </c>
      <c r="P13" s="4">
        <v>52</v>
      </c>
      <c r="Q13" s="4">
        <v>50</v>
      </c>
      <c r="R13" s="4">
        <v>57</v>
      </c>
      <c r="S13" s="71">
        <v>55</v>
      </c>
    </row>
    <row r="14" spans="1:19">
      <c r="A14" s="5" t="s">
        <v>177</v>
      </c>
      <c r="B14" s="5" t="s">
        <v>607</v>
      </c>
      <c r="C14" s="67">
        <v>1756055</v>
      </c>
      <c r="D14" s="70" t="s">
        <v>618</v>
      </c>
      <c r="E14" s="5" t="s">
        <v>612</v>
      </c>
      <c r="F14" s="5" t="s">
        <v>1149</v>
      </c>
      <c r="G14" s="5" t="s">
        <v>617</v>
      </c>
      <c r="H14" s="17" t="s">
        <v>1154</v>
      </c>
      <c r="I14" s="5">
        <f t="shared" si="1"/>
        <v>0</v>
      </c>
      <c r="J14" s="4">
        <v>0</v>
      </c>
      <c r="K14" s="4">
        <v>0</v>
      </c>
      <c r="L14" s="49"/>
      <c r="M14" s="49"/>
      <c r="N14" s="49"/>
      <c r="O14" s="49"/>
      <c r="P14" s="49"/>
      <c r="Q14" s="49"/>
      <c r="R14" s="49"/>
      <c r="S14" s="50"/>
    </row>
    <row r="15" spans="1:19">
      <c r="A15" s="5" t="s">
        <v>177</v>
      </c>
      <c r="B15" s="5" t="s">
        <v>607</v>
      </c>
      <c r="C15" s="67">
        <v>1775683</v>
      </c>
      <c r="D15" s="70" t="s">
        <v>616</v>
      </c>
      <c r="E15" s="5" t="s">
        <v>607</v>
      </c>
      <c r="F15" s="5" t="s">
        <v>1147</v>
      </c>
      <c r="G15" s="5" t="s">
        <v>615</v>
      </c>
      <c r="H15" s="17" t="s">
        <v>1154</v>
      </c>
      <c r="I15" s="5">
        <f t="shared" si="1"/>
        <v>0</v>
      </c>
      <c r="J15" s="4">
        <v>0</v>
      </c>
      <c r="K15" s="49"/>
      <c r="L15" s="49"/>
      <c r="M15" s="49"/>
      <c r="N15" s="49"/>
      <c r="O15" s="49"/>
      <c r="P15" s="49"/>
      <c r="Q15" s="49"/>
      <c r="R15" s="49"/>
      <c r="S15" s="50"/>
    </row>
    <row r="16" spans="1:19">
      <c r="A16" s="5" t="s">
        <v>177</v>
      </c>
      <c r="B16" s="5" t="s">
        <v>607</v>
      </c>
      <c r="C16" s="67">
        <v>1056936</v>
      </c>
      <c r="D16" s="70" t="s">
        <v>216</v>
      </c>
      <c r="E16" s="5" t="s">
        <v>614</v>
      </c>
      <c r="F16" s="5" t="s">
        <v>1148</v>
      </c>
      <c r="G16" s="5" t="s">
        <v>613</v>
      </c>
      <c r="H16" s="174">
        <f t="shared" si="0"/>
        <v>0.22857142857142856</v>
      </c>
      <c r="I16" s="173">
        <f t="shared" si="1"/>
        <v>8</v>
      </c>
      <c r="J16" s="4">
        <v>43</v>
      </c>
      <c r="K16" s="4">
        <v>35</v>
      </c>
      <c r="L16" s="4">
        <v>36</v>
      </c>
      <c r="M16" s="4">
        <v>45</v>
      </c>
      <c r="N16" s="4">
        <v>45</v>
      </c>
      <c r="O16" s="4">
        <v>37</v>
      </c>
      <c r="P16" s="4">
        <v>53</v>
      </c>
      <c r="Q16" s="4">
        <v>49</v>
      </c>
      <c r="R16" s="4">
        <v>38</v>
      </c>
      <c r="S16" s="71">
        <v>40</v>
      </c>
    </row>
    <row r="17" spans="1:19">
      <c r="A17" s="5" t="s">
        <v>177</v>
      </c>
      <c r="B17" s="5" t="s">
        <v>607</v>
      </c>
      <c r="C17" s="67">
        <v>1056944</v>
      </c>
      <c r="D17" s="70" t="s">
        <v>1168</v>
      </c>
      <c r="E17" s="5" t="s">
        <v>612</v>
      </c>
      <c r="F17" s="5" t="s">
        <v>1148</v>
      </c>
      <c r="G17" s="5" t="s">
        <v>611</v>
      </c>
      <c r="H17" s="174">
        <f t="shared" si="0"/>
        <v>0.33333333333333331</v>
      </c>
      <c r="I17" s="173">
        <f t="shared" si="1"/>
        <v>50</v>
      </c>
      <c r="J17" s="4">
        <v>200</v>
      </c>
      <c r="K17" s="4">
        <v>150</v>
      </c>
      <c r="L17" s="4">
        <v>150</v>
      </c>
      <c r="M17" s="4">
        <v>150</v>
      </c>
      <c r="N17" s="4">
        <v>150</v>
      </c>
      <c r="O17" s="4">
        <v>150</v>
      </c>
      <c r="P17" s="4">
        <v>150</v>
      </c>
      <c r="Q17" s="4">
        <v>125</v>
      </c>
      <c r="R17" s="4">
        <v>250</v>
      </c>
      <c r="S17" s="71">
        <v>240</v>
      </c>
    </row>
    <row r="18" spans="1:19">
      <c r="A18" s="5" t="s">
        <v>177</v>
      </c>
      <c r="B18" s="5" t="s">
        <v>607</v>
      </c>
      <c r="C18" s="67">
        <v>1057165</v>
      </c>
      <c r="D18" s="70" t="s">
        <v>610</v>
      </c>
      <c r="E18" s="5" t="s">
        <v>8</v>
      </c>
      <c r="F18" s="5" t="s">
        <v>1148</v>
      </c>
      <c r="G18" s="5" t="s">
        <v>609</v>
      </c>
      <c r="H18" s="58">
        <f t="shared" si="0"/>
        <v>0</v>
      </c>
      <c r="I18" s="59">
        <f t="shared" si="1"/>
        <v>0</v>
      </c>
      <c r="J18" s="4">
        <v>550</v>
      </c>
      <c r="K18" s="4">
        <v>550</v>
      </c>
      <c r="L18" s="4">
        <v>600</v>
      </c>
      <c r="M18" s="4">
        <v>553</v>
      </c>
      <c r="N18" s="4">
        <v>380</v>
      </c>
      <c r="O18" s="4">
        <v>560</v>
      </c>
      <c r="P18" s="4">
        <v>600</v>
      </c>
      <c r="Q18" s="4">
        <v>521</v>
      </c>
      <c r="R18" s="4">
        <v>455</v>
      </c>
      <c r="S18" s="71">
        <v>262</v>
      </c>
    </row>
    <row r="19" spans="1:19">
      <c r="A19" s="5" t="s">
        <v>177</v>
      </c>
      <c r="B19" s="5" t="s">
        <v>607</v>
      </c>
      <c r="C19" s="67">
        <v>1057173</v>
      </c>
      <c r="D19" s="70" t="s">
        <v>25</v>
      </c>
      <c r="E19" s="5" t="s">
        <v>607</v>
      </c>
      <c r="F19" s="5" t="s">
        <v>1148</v>
      </c>
      <c r="G19" s="5" t="s">
        <v>608</v>
      </c>
      <c r="H19" s="149">
        <f t="shared" si="0"/>
        <v>-0.16666666666666666</v>
      </c>
      <c r="I19" s="150">
        <f t="shared" si="1"/>
        <v>-25</v>
      </c>
      <c r="J19" s="4">
        <v>125</v>
      </c>
      <c r="K19" s="4">
        <v>150</v>
      </c>
      <c r="L19" s="4">
        <v>140</v>
      </c>
      <c r="M19" s="4">
        <v>150</v>
      </c>
      <c r="N19" s="4">
        <v>125</v>
      </c>
      <c r="O19" s="4">
        <v>100</v>
      </c>
      <c r="P19" s="4">
        <v>100</v>
      </c>
      <c r="Q19" s="4">
        <v>115</v>
      </c>
      <c r="R19" s="4">
        <v>115</v>
      </c>
      <c r="S19" s="71">
        <v>90</v>
      </c>
    </row>
    <row r="20" spans="1:19">
      <c r="A20" s="5" t="s">
        <v>177</v>
      </c>
      <c r="B20" s="5" t="s">
        <v>607</v>
      </c>
      <c r="C20" s="67">
        <v>1440940</v>
      </c>
      <c r="D20" s="70" t="s">
        <v>606</v>
      </c>
      <c r="E20" s="5" t="s">
        <v>605</v>
      </c>
      <c r="F20" s="5" t="s">
        <v>1148</v>
      </c>
      <c r="G20" s="5" t="s">
        <v>604</v>
      </c>
      <c r="H20" s="149">
        <f t="shared" si="0"/>
        <v>-0.23809523809523808</v>
      </c>
      <c r="I20" s="150">
        <f t="shared" si="1"/>
        <v>-25</v>
      </c>
      <c r="J20" s="54">
        <v>80</v>
      </c>
      <c r="K20" s="54">
        <v>105</v>
      </c>
      <c r="L20" s="54">
        <v>95</v>
      </c>
      <c r="M20" s="54">
        <v>65</v>
      </c>
      <c r="N20" s="54">
        <v>65</v>
      </c>
      <c r="O20" s="54">
        <v>65</v>
      </c>
      <c r="P20" s="54">
        <v>65</v>
      </c>
      <c r="Q20" s="54">
        <v>55</v>
      </c>
      <c r="R20" s="54">
        <v>48</v>
      </c>
      <c r="S20" s="145">
        <v>48</v>
      </c>
    </row>
    <row r="21" spans="1:19" ht="15" thickBot="1">
      <c r="D21" s="72" t="str">
        <f>"Church Count: "&amp;COUNTA(D5:D20)</f>
        <v>Church Count: 16</v>
      </c>
      <c r="E21" s="49"/>
      <c r="F21" s="49"/>
      <c r="G21" s="151" t="s">
        <v>1207</v>
      </c>
      <c r="H21" s="17"/>
      <c r="I21" s="5"/>
      <c r="J21" s="201">
        <f t="shared" ref="J21:S21" si="2">SUM(J5:J20)</f>
        <v>6819</v>
      </c>
      <c r="K21" s="197">
        <f t="shared" si="2"/>
        <v>5812</v>
      </c>
      <c r="L21" s="197">
        <f t="shared" si="2"/>
        <v>5021</v>
      </c>
      <c r="M21" s="197">
        <f t="shared" si="2"/>
        <v>4095</v>
      </c>
      <c r="N21" s="197">
        <f t="shared" si="2"/>
        <v>3207</v>
      </c>
      <c r="O21" s="197">
        <f t="shared" si="2"/>
        <v>2858</v>
      </c>
      <c r="P21" s="197">
        <f t="shared" si="2"/>
        <v>2622</v>
      </c>
      <c r="Q21" s="197">
        <f t="shared" si="2"/>
        <v>2268</v>
      </c>
      <c r="R21" s="197">
        <f t="shared" si="2"/>
        <v>1993</v>
      </c>
      <c r="S21" s="198">
        <f t="shared" si="2"/>
        <v>1481</v>
      </c>
    </row>
    <row r="22" spans="1:19" ht="15" thickTop="1">
      <c r="D22" s="152" t="s">
        <v>1180</v>
      </c>
      <c r="E22" s="49"/>
      <c r="F22" s="49"/>
      <c r="G22" s="151" t="s">
        <v>1208</v>
      </c>
      <c r="H22" s="49"/>
      <c r="I22" s="49"/>
      <c r="J22" s="49">
        <f>J21-K21</f>
        <v>1007</v>
      </c>
      <c r="K22" s="49"/>
      <c r="L22" s="49"/>
      <c r="M22" s="49"/>
      <c r="N22" s="49"/>
      <c r="O22" s="49"/>
      <c r="P22" s="49"/>
      <c r="Q22" s="49"/>
      <c r="R22" s="49"/>
      <c r="S22" s="50"/>
    </row>
    <row r="23" spans="1:19">
      <c r="D23" s="153" t="s">
        <v>1181</v>
      </c>
      <c r="E23" s="146"/>
      <c r="F23" s="146"/>
      <c r="G23" s="151" t="s">
        <v>1209</v>
      </c>
      <c r="H23" s="49"/>
      <c r="I23" s="49"/>
      <c r="J23" s="169">
        <f>(J21-K21)/ABS(K21)</f>
        <v>0.17326221610461115</v>
      </c>
      <c r="K23" s="49"/>
      <c r="L23" s="49"/>
      <c r="M23" s="49"/>
      <c r="N23" s="49"/>
      <c r="O23" s="49"/>
      <c r="P23" s="49"/>
      <c r="Q23" s="49"/>
      <c r="R23" s="49"/>
      <c r="S23" s="50"/>
    </row>
    <row r="24" spans="1:19">
      <c r="D24" s="170" t="s">
        <v>1210</v>
      </c>
      <c r="E24" s="49"/>
      <c r="F24" s="49"/>
      <c r="G24" s="218" t="s">
        <v>1219</v>
      </c>
      <c r="H24" s="49"/>
      <c r="I24" s="49"/>
      <c r="J24" s="222">
        <f>J21-S21</f>
        <v>5338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D25" s="154" t="s">
        <v>1182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/>
    </row>
  </sheetData>
  <mergeCells count="1">
    <mergeCell ref="D1:S1"/>
  </mergeCells>
  <printOptions horizontalCentered="1"/>
  <pageMargins left="0.7" right="0.7" top="0.75" bottom="0.75" header="0.3" footer="0.3"/>
  <pageSetup scale="71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 enableFormatConditionsCalculation="0">
    <pageSetUpPr fitToPage="1"/>
  </sheetPr>
  <dimension ref="A1:S25"/>
  <sheetViews>
    <sheetView topLeftCell="D1" workbookViewId="0">
      <selection activeCell="J24" sqref="J24"/>
    </sheetView>
  </sheetViews>
  <sheetFormatPr baseColWidth="10" defaultColWidth="8.83203125" defaultRowHeight="14" x14ac:dyDescent="0"/>
  <cols>
    <col min="1" max="1" width="13.1640625" style="3" hidden="1" customWidth="1"/>
    <col min="2" max="2" width="9.5" style="3" hidden="1" customWidth="1"/>
    <col min="3" max="3" width="8.1640625" style="3" hidden="1" customWidth="1"/>
    <col min="4" max="4" width="39.6640625" style="3" customWidth="1"/>
    <col min="5" max="5" width="12.1640625" style="3" bestFit="1" customWidth="1"/>
    <col min="6" max="6" width="10" style="3" bestFit="1" customWidth="1"/>
    <col min="7" max="7" width="24.332031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Red River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177</v>
      </c>
      <c r="B5" s="5" t="s">
        <v>640</v>
      </c>
      <c r="C5" s="67">
        <v>1061175</v>
      </c>
      <c r="D5" s="70" t="s">
        <v>25</v>
      </c>
      <c r="E5" s="5" t="s">
        <v>674</v>
      </c>
      <c r="F5" s="5" t="s">
        <v>1148</v>
      </c>
      <c r="G5" s="5" t="s">
        <v>673</v>
      </c>
      <c r="H5" s="149">
        <f>(J5-K5)/ABS(K5)</f>
        <v>-0.1</v>
      </c>
      <c r="I5" s="150">
        <f>J5-K5</f>
        <v>-3</v>
      </c>
      <c r="J5" s="4">
        <v>27</v>
      </c>
      <c r="K5" s="4">
        <v>30</v>
      </c>
      <c r="L5" s="4">
        <v>28</v>
      </c>
      <c r="M5" s="4">
        <v>50</v>
      </c>
      <c r="N5" s="4">
        <v>75</v>
      </c>
      <c r="O5" s="4">
        <v>75</v>
      </c>
      <c r="P5" s="4">
        <v>75</v>
      </c>
      <c r="Q5" s="4">
        <v>75</v>
      </c>
      <c r="R5" s="4">
        <v>85</v>
      </c>
      <c r="S5" s="71">
        <v>85</v>
      </c>
    </row>
    <row r="6" spans="1:19">
      <c r="A6" s="5" t="s">
        <v>177</v>
      </c>
      <c r="B6" s="5" t="s">
        <v>640</v>
      </c>
      <c r="C6" s="67">
        <v>1061076</v>
      </c>
      <c r="D6" s="70" t="s">
        <v>672</v>
      </c>
      <c r="E6" s="5" t="s">
        <v>669</v>
      </c>
      <c r="F6" s="5" t="s">
        <v>1148</v>
      </c>
      <c r="G6" s="5" t="s">
        <v>671</v>
      </c>
      <c r="H6" s="174">
        <f t="shared" ref="H6:H20" si="0">(J6-K6)/ABS(K6)</f>
        <v>0.34444444444444444</v>
      </c>
      <c r="I6" s="173">
        <f t="shared" ref="I6:I20" si="1">J6-K6</f>
        <v>31</v>
      </c>
      <c r="J6" s="4">
        <v>121</v>
      </c>
      <c r="K6" s="4">
        <v>90</v>
      </c>
      <c r="L6" s="4">
        <v>105</v>
      </c>
      <c r="M6" s="4">
        <v>90</v>
      </c>
      <c r="N6" s="4">
        <v>89</v>
      </c>
      <c r="O6" s="4">
        <v>87</v>
      </c>
      <c r="P6" s="4">
        <v>125</v>
      </c>
      <c r="Q6" s="4">
        <v>125</v>
      </c>
      <c r="R6" s="4">
        <v>127</v>
      </c>
      <c r="S6" s="71">
        <v>122</v>
      </c>
    </row>
    <row r="7" spans="1:19">
      <c r="A7" s="5" t="s">
        <v>177</v>
      </c>
      <c r="B7" s="5" t="s">
        <v>640</v>
      </c>
      <c r="C7" s="67">
        <v>1061084</v>
      </c>
      <c r="D7" s="70" t="s">
        <v>670</v>
      </c>
      <c r="E7" s="5" t="s">
        <v>669</v>
      </c>
      <c r="F7" s="5" t="s">
        <v>1148</v>
      </c>
      <c r="G7" s="5" t="s">
        <v>668</v>
      </c>
      <c r="H7" s="174">
        <f t="shared" si="0"/>
        <v>0.16279069767441862</v>
      </c>
      <c r="I7" s="173">
        <f t="shared" si="1"/>
        <v>7</v>
      </c>
      <c r="J7" s="4">
        <v>50</v>
      </c>
      <c r="K7" s="4">
        <v>43</v>
      </c>
      <c r="L7" s="4">
        <v>44</v>
      </c>
      <c r="M7" s="4">
        <v>43</v>
      </c>
      <c r="N7" s="4">
        <v>47</v>
      </c>
      <c r="O7" s="4">
        <v>46</v>
      </c>
      <c r="P7" s="4">
        <v>43</v>
      </c>
      <c r="Q7" s="4">
        <v>45</v>
      </c>
      <c r="R7" s="4">
        <v>40</v>
      </c>
      <c r="S7" s="71">
        <v>45</v>
      </c>
    </row>
    <row r="8" spans="1:19">
      <c r="A8" s="5" t="s">
        <v>177</v>
      </c>
      <c r="B8" s="5" t="s">
        <v>640</v>
      </c>
      <c r="C8" s="67">
        <v>1061118</v>
      </c>
      <c r="D8" s="70" t="s">
        <v>25</v>
      </c>
      <c r="E8" s="5" t="s">
        <v>667</v>
      </c>
      <c r="F8" s="5" t="s">
        <v>1148</v>
      </c>
      <c r="G8" s="5" t="s">
        <v>666</v>
      </c>
      <c r="H8" s="149">
        <f t="shared" si="0"/>
        <v>-9.0909090909090912E-2</v>
      </c>
      <c r="I8" s="150">
        <f t="shared" si="1"/>
        <v>-5</v>
      </c>
      <c r="J8" s="4">
        <v>50</v>
      </c>
      <c r="K8" s="4">
        <v>55</v>
      </c>
      <c r="L8" s="4">
        <v>65</v>
      </c>
      <c r="M8" s="4">
        <v>61</v>
      </c>
      <c r="N8" s="4">
        <v>65</v>
      </c>
      <c r="O8" s="4">
        <v>65</v>
      </c>
      <c r="P8" s="4">
        <v>61</v>
      </c>
      <c r="Q8" s="4">
        <v>53</v>
      </c>
      <c r="R8" s="4">
        <v>59</v>
      </c>
      <c r="S8" s="71">
        <v>57</v>
      </c>
    </row>
    <row r="9" spans="1:19" ht="15" thickBot="1">
      <c r="A9" s="5" t="s">
        <v>177</v>
      </c>
      <c r="B9" s="5" t="s">
        <v>640</v>
      </c>
      <c r="C9" s="67">
        <v>1061126</v>
      </c>
      <c r="D9" s="70" t="s">
        <v>665</v>
      </c>
      <c r="E9" s="5" t="s">
        <v>664</v>
      </c>
      <c r="F9" s="5" t="s">
        <v>1147</v>
      </c>
      <c r="G9" s="5" t="s">
        <v>663</v>
      </c>
      <c r="H9" s="190">
        <f t="shared" si="0"/>
        <v>-0.25</v>
      </c>
      <c r="I9" s="150">
        <f t="shared" si="1"/>
        <v>-10</v>
      </c>
      <c r="J9" s="4">
        <v>30</v>
      </c>
      <c r="K9" s="4">
        <v>40</v>
      </c>
      <c r="L9" s="4">
        <v>35</v>
      </c>
      <c r="M9" s="4">
        <v>37</v>
      </c>
      <c r="N9" s="4">
        <v>37</v>
      </c>
      <c r="O9" s="4">
        <v>40</v>
      </c>
      <c r="P9" s="4">
        <v>36</v>
      </c>
      <c r="Q9" s="4">
        <v>36</v>
      </c>
      <c r="R9" s="4">
        <v>40</v>
      </c>
      <c r="S9" s="71">
        <v>36</v>
      </c>
    </row>
    <row r="10" spans="1:19" ht="15" thickBot="1">
      <c r="A10" s="5" t="s">
        <v>177</v>
      </c>
      <c r="B10" s="5" t="s">
        <v>640</v>
      </c>
      <c r="C10" s="67">
        <v>1061134</v>
      </c>
      <c r="D10" s="178" t="s">
        <v>25</v>
      </c>
      <c r="E10" s="179" t="s">
        <v>662</v>
      </c>
      <c r="F10" s="179" t="s">
        <v>1147</v>
      </c>
      <c r="G10" s="181" t="s">
        <v>661</v>
      </c>
      <c r="H10" s="193">
        <f t="shared" si="0"/>
        <v>8.84</v>
      </c>
      <c r="I10" s="192">
        <f t="shared" si="1"/>
        <v>221</v>
      </c>
      <c r="J10" s="183">
        <v>246</v>
      </c>
      <c r="K10" s="183">
        <v>25</v>
      </c>
      <c r="L10" s="4">
        <v>23</v>
      </c>
      <c r="M10" s="4">
        <v>24</v>
      </c>
      <c r="N10" s="4">
        <v>29</v>
      </c>
      <c r="O10" s="4">
        <v>25</v>
      </c>
      <c r="P10" s="4">
        <v>30</v>
      </c>
      <c r="Q10" s="4">
        <v>30</v>
      </c>
      <c r="R10" s="4">
        <v>32</v>
      </c>
      <c r="S10" s="71">
        <v>27</v>
      </c>
    </row>
    <row r="11" spans="1:19">
      <c r="A11" s="5" t="s">
        <v>177</v>
      </c>
      <c r="B11" s="5" t="s">
        <v>640</v>
      </c>
      <c r="C11" s="67">
        <v>1058668</v>
      </c>
      <c r="D11" s="70" t="s">
        <v>25</v>
      </c>
      <c r="E11" s="5" t="s">
        <v>660</v>
      </c>
      <c r="F11" s="5" t="s">
        <v>1148</v>
      </c>
      <c r="G11" s="5" t="s">
        <v>659</v>
      </c>
      <c r="H11" s="191">
        <f t="shared" si="0"/>
        <v>-0.2</v>
      </c>
      <c r="I11" s="150">
        <f t="shared" si="1"/>
        <v>-5</v>
      </c>
      <c r="J11" s="4">
        <v>20</v>
      </c>
      <c r="K11" s="4">
        <v>25</v>
      </c>
      <c r="L11" s="4">
        <v>25</v>
      </c>
      <c r="M11" s="4">
        <v>40</v>
      </c>
      <c r="N11" s="4">
        <v>40</v>
      </c>
      <c r="O11" s="4">
        <v>40</v>
      </c>
      <c r="P11" s="4">
        <v>30</v>
      </c>
      <c r="Q11" s="4">
        <v>30</v>
      </c>
      <c r="R11" s="4">
        <v>30</v>
      </c>
      <c r="S11" s="71">
        <v>30</v>
      </c>
    </row>
    <row r="12" spans="1:19">
      <c r="A12" s="5" t="s">
        <v>177</v>
      </c>
      <c r="B12" s="5" t="s">
        <v>640</v>
      </c>
      <c r="C12" s="67">
        <v>1061167</v>
      </c>
      <c r="D12" s="70" t="s">
        <v>1169</v>
      </c>
      <c r="E12" s="5" t="s">
        <v>658</v>
      </c>
      <c r="F12" s="5" t="s">
        <v>1147</v>
      </c>
      <c r="G12" s="5" t="s">
        <v>657</v>
      </c>
      <c r="H12" s="174">
        <f t="shared" si="0"/>
        <v>0.36363636363636365</v>
      </c>
      <c r="I12" s="173">
        <f t="shared" si="1"/>
        <v>8</v>
      </c>
      <c r="J12" s="4">
        <v>30</v>
      </c>
      <c r="K12" s="4">
        <v>22</v>
      </c>
      <c r="L12" s="4">
        <v>14</v>
      </c>
      <c r="M12" s="4">
        <v>5</v>
      </c>
      <c r="N12" s="4">
        <v>5</v>
      </c>
      <c r="O12" s="4">
        <v>14</v>
      </c>
      <c r="P12" s="4">
        <v>15</v>
      </c>
      <c r="Q12" s="4">
        <v>18</v>
      </c>
      <c r="R12" s="4">
        <v>12</v>
      </c>
      <c r="S12" s="71">
        <v>14</v>
      </c>
    </row>
    <row r="13" spans="1:19">
      <c r="A13" s="5" t="s">
        <v>177</v>
      </c>
      <c r="B13" s="5" t="s">
        <v>640</v>
      </c>
      <c r="C13" s="67">
        <v>1057264</v>
      </c>
      <c r="D13" s="70" t="s">
        <v>656</v>
      </c>
      <c r="E13" s="5" t="s">
        <v>646</v>
      </c>
      <c r="F13" s="5" t="s">
        <v>1148</v>
      </c>
      <c r="G13" s="5" t="s">
        <v>655</v>
      </c>
      <c r="H13" s="174">
        <f t="shared" si="0"/>
        <v>7.1428571428571425E-2</v>
      </c>
      <c r="I13" s="173">
        <f t="shared" si="1"/>
        <v>5</v>
      </c>
      <c r="J13" s="4">
        <v>75</v>
      </c>
      <c r="K13" s="4">
        <v>70</v>
      </c>
      <c r="L13" s="4">
        <v>70</v>
      </c>
      <c r="M13" s="4">
        <v>70</v>
      </c>
      <c r="N13" s="4">
        <v>75</v>
      </c>
      <c r="O13" s="4">
        <v>75</v>
      </c>
      <c r="P13" s="4">
        <v>85</v>
      </c>
      <c r="Q13" s="4">
        <v>85</v>
      </c>
      <c r="R13" s="4">
        <v>85</v>
      </c>
      <c r="S13" s="71">
        <v>80</v>
      </c>
    </row>
    <row r="14" spans="1:19">
      <c r="A14" s="5" t="s">
        <v>177</v>
      </c>
      <c r="B14" s="5" t="s">
        <v>640</v>
      </c>
      <c r="C14" s="67">
        <v>1087014</v>
      </c>
      <c r="D14" s="70" t="s">
        <v>654</v>
      </c>
      <c r="E14" s="5" t="s">
        <v>653</v>
      </c>
      <c r="F14" s="5" t="s">
        <v>1147</v>
      </c>
      <c r="G14" s="5" t="s">
        <v>652</v>
      </c>
      <c r="H14" s="17">
        <f t="shared" si="0"/>
        <v>8.3333333333333329E-2</v>
      </c>
      <c r="I14" s="5">
        <f t="shared" si="1"/>
        <v>5</v>
      </c>
      <c r="J14" s="4">
        <v>65</v>
      </c>
      <c r="K14" s="4">
        <v>60</v>
      </c>
      <c r="L14" s="4">
        <v>30</v>
      </c>
      <c r="M14" s="4">
        <v>45</v>
      </c>
      <c r="N14" s="4">
        <v>45</v>
      </c>
      <c r="O14" s="4">
        <v>34</v>
      </c>
      <c r="P14" s="4">
        <v>30</v>
      </c>
      <c r="Q14" s="4">
        <v>40</v>
      </c>
      <c r="R14" s="4">
        <v>40</v>
      </c>
      <c r="S14" s="71">
        <v>40</v>
      </c>
    </row>
    <row r="15" spans="1:19">
      <c r="A15" s="5" t="s">
        <v>177</v>
      </c>
      <c r="B15" s="5" t="s">
        <v>640</v>
      </c>
      <c r="C15" s="67">
        <v>1112234</v>
      </c>
      <c r="D15" s="70" t="s">
        <v>651</v>
      </c>
      <c r="E15" s="5" t="s">
        <v>642</v>
      </c>
      <c r="F15" s="5" t="s">
        <v>1148</v>
      </c>
      <c r="G15" s="5" t="s">
        <v>650</v>
      </c>
      <c r="H15" s="17">
        <f t="shared" si="0"/>
        <v>4.1666666666666664E-2</v>
      </c>
      <c r="I15" s="5">
        <f t="shared" si="1"/>
        <v>21</v>
      </c>
      <c r="J15" s="148">
        <v>525</v>
      </c>
      <c r="K15" s="4">
        <v>504</v>
      </c>
      <c r="L15" s="4">
        <v>534</v>
      </c>
      <c r="M15" s="4">
        <v>589</v>
      </c>
      <c r="N15" s="4">
        <v>620</v>
      </c>
      <c r="O15" s="4">
        <v>605</v>
      </c>
      <c r="P15" s="4">
        <v>600</v>
      </c>
      <c r="Q15" s="4">
        <v>593</v>
      </c>
      <c r="R15" s="4">
        <v>587</v>
      </c>
      <c r="S15" s="71">
        <v>597</v>
      </c>
    </row>
    <row r="16" spans="1:19">
      <c r="A16" s="5" t="s">
        <v>177</v>
      </c>
      <c r="B16" s="5" t="s">
        <v>640</v>
      </c>
      <c r="C16" s="67">
        <v>1120898</v>
      </c>
      <c r="D16" s="70" t="s">
        <v>649</v>
      </c>
      <c r="E16" s="5" t="s">
        <v>646</v>
      </c>
      <c r="F16" s="5" t="s">
        <v>1148</v>
      </c>
      <c r="G16" s="5" t="s">
        <v>648</v>
      </c>
      <c r="H16" s="149">
        <f t="shared" si="0"/>
        <v>-0.16666666666666666</v>
      </c>
      <c r="I16" s="150">
        <f t="shared" si="1"/>
        <v>-40</v>
      </c>
      <c r="J16" s="4">
        <v>200</v>
      </c>
      <c r="K16" s="4">
        <v>240</v>
      </c>
      <c r="L16" s="4">
        <v>275</v>
      </c>
      <c r="M16" s="4">
        <v>330</v>
      </c>
      <c r="N16" s="4">
        <v>330</v>
      </c>
      <c r="O16" s="4">
        <v>340</v>
      </c>
      <c r="P16" s="4">
        <v>325</v>
      </c>
      <c r="Q16" s="4">
        <v>650</v>
      </c>
      <c r="R16" s="4">
        <v>625</v>
      </c>
      <c r="S16" s="71">
        <v>510</v>
      </c>
    </row>
    <row r="17" spans="1:19">
      <c r="A17" s="5" t="s">
        <v>177</v>
      </c>
      <c r="B17" s="5" t="s">
        <v>640</v>
      </c>
      <c r="C17" s="67">
        <v>1476225</v>
      </c>
      <c r="D17" s="70" t="s">
        <v>647</v>
      </c>
      <c r="E17" s="5" t="s">
        <v>646</v>
      </c>
      <c r="F17" s="5" t="s">
        <v>1147</v>
      </c>
      <c r="G17" s="5" t="s">
        <v>645</v>
      </c>
      <c r="H17" s="17">
        <f t="shared" si="0"/>
        <v>6.3829787234042548E-2</v>
      </c>
      <c r="I17" s="5">
        <f t="shared" si="1"/>
        <v>15</v>
      </c>
      <c r="J17" s="4">
        <v>250</v>
      </c>
      <c r="K17" s="4">
        <v>235</v>
      </c>
      <c r="L17" s="4">
        <v>196</v>
      </c>
      <c r="M17" s="4">
        <v>150</v>
      </c>
      <c r="N17" s="4">
        <v>80</v>
      </c>
      <c r="O17" s="4">
        <v>130</v>
      </c>
      <c r="P17" s="4">
        <v>130</v>
      </c>
      <c r="Q17" s="4">
        <v>110</v>
      </c>
      <c r="R17" s="4">
        <v>0</v>
      </c>
      <c r="S17" s="71">
        <v>0</v>
      </c>
    </row>
    <row r="18" spans="1:19">
      <c r="A18" s="5" t="s">
        <v>177</v>
      </c>
      <c r="B18" s="5" t="s">
        <v>640</v>
      </c>
      <c r="C18" s="67">
        <v>1056902</v>
      </c>
      <c r="D18" s="70" t="s">
        <v>644</v>
      </c>
      <c r="E18" s="5" t="s">
        <v>642</v>
      </c>
      <c r="F18" s="5" t="s">
        <v>1148</v>
      </c>
      <c r="G18" s="5" t="s">
        <v>643</v>
      </c>
      <c r="H18" s="174">
        <f t="shared" si="0"/>
        <v>0.4</v>
      </c>
      <c r="I18" s="173">
        <f t="shared" si="1"/>
        <v>20</v>
      </c>
      <c r="J18" s="4">
        <v>70</v>
      </c>
      <c r="K18" s="4">
        <v>50</v>
      </c>
      <c r="L18" s="4">
        <v>60</v>
      </c>
      <c r="M18" s="4">
        <v>72</v>
      </c>
      <c r="N18" s="4">
        <v>70</v>
      </c>
      <c r="O18" s="4">
        <v>85</v>
      </c>
      <c r="P18" s="4">
        <v>121</v>
      </c>
      <c r="Q18" s="4">
        <v>123</v>
      </c>
      <c r="R18" s="4">
        <v>99</v>
      </c>
      <c r="S18" s="71">
        <v>118</v>
      </c>
    </row>
    <row r="19" spans="1:19">
      <c r="A19" s="5" t="s">
        <v>177</v>
      </c>
      <c r="B19" s="5" t="s">
        <v>640</v>
      </c>
      <c r="C19" s="67">
        <v>1056910</v>
      </c>
      <c r="D19" s="70" t="s">
        <v>139</v>
      </c>
      <c r="E19" s="5" t="s">
        <v>642</v>
      </c>
      <c r="F19" s="5" t="s">
        <v>1148</v>
      </c>
      <c r="G19" s="5" t="s">
        <v>641</v>
      </c>
      <c r="H19" s="58">
        <f t="shared" si="0"/>
        <v>0</v>
      </c>
      <c r="I19" s="59">
        <f t="shared" si="1"/>
        <v>0</v>
      </c>
      <c r="J19" s="4">
        <v>65</v>
      </c>
      <c r="K19" s="4">
        <v>65</v>
      </c>
      <c r="L19" s="4">
        <v>55</v>
      </c>
      <c r="M19" s="4">
        <v>35</v>
      </c>
      <c r="N19" s="4">
        <v>30</v>
      </c>
      <c r="O19" s="4">
        <v>30</v>
      </c>
      <c r="P19" s="4">
        <v>40</v>
      </c>
      <c r="Q19" s="4">
        <v>40</v>
      </c>
      <c r="R19" s="4">
        <v>35</v>
      </c>
      <c r="S19" s="71">
        <v>35</v>
      </c>
    </row>
    <row r="20" spans="1:19">
      <c r="A20" s="5" t="s">
        <v>177</v>
      </c>
      <c r="B20" s="5" t="s">
        <v>640</v>
      </c>
      <c r="C20" s="67">
        <v>1061142</v>
      </c>
      <c r="D20" s="70" t="s">
        <v>25</v>
      </c>
      <c r="E20" s="5" t="s">
        <v>639</v>
      </c>
      <c r="F20" s="5" t="s">
        <v>1148</v>
      </c>
      <c r="G20" s="5" t="s">
        <v>638</v>
      </c>
      <c r="H20" s="174">
        <f t="shared" si="0"/>
        <v>2.4090909090909092</v>
      </c>
      <c r="I20" s="173">
        <f t="shared" si="1"/>
        <v>53</v>
      </c>
      <c r="J20" s="54">
        <v>75</v>
      </c>
      <c r="K20" s="54">
        <v>22</v>
      </c>
      <c r="L20" s="54">
        <v>25</v>
      </c>
      <c r="M20" s="54">
        <v>18</v>
      </c>
      <c r="N20" s="54">
        <v>25</v>
      </c>
      <c r="O20" s="54">
        <v>29</v>
      </c>
      <c r="P20" s="54">
        <v>27</v>
      </c>
      <c r="Q20" s="54">
        <v>27</v>
      </c>
      <c r="R20" s="54">
        <v>32</v>
      </c>
      <c r="S20" s="145">
        <v>40</v>
      </c>
    </row>
    <row r="21" spans="1:19" ht="15" thickBot="1">
      <c r="D21" s="72" t="str">
        <f>"Church Count: "&amp;COUNTA(D5:D20)</f>
        <v>Church Count: 16</v>
      </c>
      <c r="E21" s="49"/>
      <c r="F21" s="49"/>
      <c r="G21" s="151" t="s">
        <v>1207</v>
      </c>
      <c r="H21" s="53"/>
      <c r="I21" s="53"/>
      <c r="J21" s="201">
        <f t="shared" ref="J21:S21" si="2">SUM(J5:J20)</f>
        <v>1899</v>
      </c>
      <c r="K21" s="197">
        <f t="shared" si="2"/>
        <v>1576</v>
      </c>
      <c r="L21" s="197">
        <f t="shared" si="2"/>
        <v>1584</v>
      </c>
      <c r="M21" s="197">
        <f t="shared" si="2"/>
        <v>1659</v>
      </c>
      <c r="N21" s="197">
        <f t="shared" si="2"/>
        <v>1662</v>
      </c>
      <c r="O21" s="197">
        <f t="shared" si="2"/>
        <v>1720</v>
      </c>
      <c r="P21" s="197">
        <f t="shared" si="2"/>
        <v>1773</v>
      </c>
      <c r="Q21" s="197">
        <f t="shared" si="2"/>
        <v>2080</v>
      </c>
      <c r="R21" s="197">
        <f t="shared" si="2"/>
        <v>1928</v>
      </c>
      <c r="S21" s="198">
        <f t="shared" si="2"/>
        <v>1836</v>
      </c>
    </row>
    <row r="22" spans="1:19" ht="15" thickTop="1">
      <c r="D22" s="152" t="s">
        <v>1180</v>
      </c>
      <c r="E22" s="49"/>
      <c r="F22" s="49"/>
      <c r="G22" s="151" t="s">
        <v>1208</v>
      </c>
      <c r="H22" s="49"/>
      <c r="I22" s="49"/>
      <c r="J22" s="49">
        <f>J21-K21</f>
        <v>323</v>
      </c>
      <c r="K22" s="49"/>
      <c r="L22" s="49"/>
      <c r="M22" s="49"/>
      <c r="N22" s="49"/>
      <c r="O22" s="49"/>
      <c r="P22" s="49"/>
      <c r="Q22" s="49"/>
      <c r="R22" s="49"/>
      <c r="S22" s="50"/>
    </row>
    <row r="23" spans="1:19">
      <c r="D23" s="153" t="s">
        <v>1181</v>
      </c>
      <c r="E23" s="146"/>
      <c r="F23" s="146"/>
      <c r="G23" s="151" t="s">
        <v>1209</v>
      </c>
      <c r="H23" s="49"/>
      <c r="I23" s="49"/>
      <c r="J23" s="169">
        <f>(J21-K21)/ABS(K21)</f>
        <v>0.20494923857868019</v>
      </c>
      <c r="K23" s="49"/>
      <c r="L23" s="49"/>
      <c r="M23" s="49"/>
      <c r="N23" s="49"/>
      <c r="O23" s="49"/>
      <c r="P23" s="49"/>
      <c r="Q23" s="49"/>
      <c r="R23" s="49"/>
      <c r="S23" s="50"/>
    </row>
    <row r="24" spans="1:19">
      <c r="D24" s="170" t="s">
        <v>1210</v>
      </c>
      <c r="E24" s="49"/>
      <c r="F24" s="49"/>
      <c r="G24" s="218" t="s">
        <v>1219</v>
      </c>
      <c r="H24" s="49"/>
      <c r="I24" s="49"/>
      <c r="J24" s="222">
        <f>J21-S21</f>
        <v>63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D25" s="154" t="s">
        <v>1182</v>
      </c>
      <c r="E25" s="51"/>
      <c r="F25" s="51"/>
      <c r="G25" s="186" t="s">
        <v>1212</v>
      </c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/>
    </row>
  </sheetData>
  <mergeCells count="1">
    <mergeCell ref="D1:S1"/>
  </mergeCells>
  <printOptions horizontalCentered="1"/>
  <pageMargins left="0.7" right="0.7" top="0.75" bottom="0.75" header="0.3" footer="0.3"/>
  <pageSetup scale="71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 enableFormatConditionsCalculation="0">
    <pageSetUpPr fitToPage="1"/>
  </sheetPr>
  <dimension ref="A1:S22"/>
  <sheetViews>
    <sheetView topLeftCell="D1" workbookViewId="0">
      <selection activeCell="J18" sqref="J18"/>
    </sheetView>
  </sheetViews>
  <sheetFormatPr baseColWidth="10" defaultColWidth="8.83203125" defaultRowHeight="14" x14ac:dyDescent="0"/>
  <cols>
    <col min="1" max="1" width="13.1640625" style="3" hidden="1" customWidth="1"/>
    <col min="2" max="2" width="8.83203125" style="3" hidden="1" customWidth="1"/>
    <col min="3" max="3" width="8.1640625" style="3" hidden="1" customWidth="1"/>
    <col min="4" max="4" width="39.5" style="3" bestFit="1" customWidth="1"/>
    <col min="5" max="5" width="10.1640625" style="3" bestFit="1" customWidth="1"/>
    <col min="6" max="6" width="10" style="3" bestFit="1" customWidth="1"/>
    <col min="7" max="7" width="20.1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Rockwall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177</v>
      </c>
      <c r="B5" s="5" t="s">
        <v>5</v>
      </c>
      <c r="C5" s="67">
        <v>1057256</v>
      </c>
      <c r="D5" s="70" t="s">
        <v>693</v>
      </c>
      <c r="E5" s="5" t="s">
        <v>692</v>
      </c>
      <c r="F5" s="5" t="s">
        <v>1148</v>
      </c>
      <c r="G5" s="5" t="s">
        <v>691</v>
      </c>
      <c r="H5" s="174">
        <f>(J5-K5)/ABS(K5)</f>
        <v>0.2857142857142857</v>
      </c>
      <c r="I5" s="173">
        <f>J5-K5</f>
        <v>20</v>
      </c>
      <c r="J5" s="4">
        <v>90</v>
      </c>
      <c r="K5" s="4">
        <v>70</v>
      </c>
      <c r="L5" s="4">
        <v>59</v>
      </c>
      <c r="M5" s="4">
        <v>53</v>
      </c>
      <c r="N5" s="4">
        <v>60</v>
      </c>
      <c r="O5" s="4">
        <v>35</v>
      </c>
      <c r="P5" s="4">
        <v>35</v>
      </c>
      <c r="Q5" s="4">
        <v>94</v>
      </c>
      <c r="R5" s="4">
        <v>100</v>
      </c>
      <c r="S5" s="71">
        <v>75</v>
      </c>
    </row>
    <row r="6" spans="1:19">
      <c r="A6" s="5" t="s">
        <v>177</v>
      </c>
      <c r="B6" s="5" t="s">
        <v>5</v>
      </c>
      <c r="C6" s="67">
        <v>1057132</v>
      </c>
      <c r="D6" s="70" t="s">
        <v>25</v>
      </c>
      <c r="E6" s="5" t="s">
        <v>690</v>
      </c>
      <c r="F6" s="5" t="s">
        <v>1148</v>
      </c>
      <c r="G6" s="5" t="s">
        <v>689</v>
      </c>
      <c r="H6" s="147">
        <f t="shared" ref="H6:H14" si="0">(J6-K6)/ABS(K6)</f>
        <v>0.47826086956521741</v>
      </c>
      <c r="I6" s="173">
        <f t="shared" ref="I6:I14" si="1">J6-K6</f>
        <v>33</v>
      </c>
      <c r="J6" s="4">
        <v>102</v>
      </c>
      <c r="K6" s="4">
        <v>69</v>
      </c>
      <c r="L6" s="4">
        <v>70</v>
      </c>
      <c r="M6" s="4">
        <v>72</v>
      </c>
      <c r="N6" s="4">
        <v>52</v>
      </c>
      <c r="O6" s="4">
        <v>88</v>
      </c>
      <c r="P6" s="4">
        <v>95</v>
      </c>
      <c r="Q6" s="4">
        <v>83</v>
      </c>
      <c r="R6" s="4">
        <v>115</v>
      </c>
      <c r="S6" s="71">
        <v>105</v>
      </c>
    </row>
    <row r="7" spans="1:19">
      <c r="A7" s="5" t="s">
        <v>177</v>
      </c>
      <c r="B7" s="5" t="s">
        <v>5</v>
      </c>
      <c r="C7" s="67">
        <v>1056969</v>
      </c>
      <c r="D7" s="70" t="s">
        <v>25</v>
      </c>
      <c r="E7" s="5" t="s">
        <v>358</v>
      </c>
      <c r="F7" s="5" t="s">
        <v>1148</v>
      </c>
      <c r="G7" s="5" t="s">
        <v>688</v>
      </c>
      <c r="H7" s="58">
        <f t="shared" si="0"/>
        <v>0</v>
      </c>
      <c r="I7" s="59">
        <f t="shared" si="1"/>
        <v>0</v>
      </c>
      <c r="J7" s="4">
        <v>69</v>
      </c>
      <c r="K7" s="4">
        <v>69</v>
      </c>
      <c r="L7" s="4">
        <v>577</v>
      </c>
      <c r="M7" s="4">
        <v>577</v>
      </c>
      <c r="N7" s="4">
        <v>577</v>
      </c>
      <c r="O7" s="4">
        <v>522</v>
      </c>
      <c r="P7" s="4">
        <v>458</v>
      </c>
      <c r="Q7" s="4">
        <v>445</v>
      </c>
      <c r="R7" s="4">
        <v>398</v>
      </c>
      <c r="S7" s="71">
        <v>307</v>
      </c>
    </row>
    <row r="8" spans="1:19">
      <c r="A8" s="5" t="s">
        <v>177</v>
      </c>
      <c r="B8" s="5" t="s">
        <v>5</v>
      </c>
      <c r="C8" s="67">
        <v>1778406</v>
      </c>
      <c r="D8" s="70" t="s">
        <v>687</v>
      </c>
      <c r="E8" s="5" t="s">
        <v>680</v>
      </c>
      <c r="F8" s="5" t="s">
        <v>1148</v>
      </c>
      <c r="G8" s="5" t="s">
        <v>686</v>
      </c>
      <c r="H8" s="58">
        <f t="shared" si="0"/>
        <v>0</v>
      </c>
      <c r="I8" s="59">
        <f t="shared" si="1"/>
        <v>0</v>
      </c>
      <c r="J8" s="4">
        <v>31</v>
      </c>
      <c r="K8" s="4">
        <v>31</v>
      </c>
      <c r="L8" s="4">
        <v>39</v>
      </c>
      <c r="M8" s="4">
        <v>42</v>
      </c>
      <c r="N8" s="4">
        <v>41</v>
      </c>
      <c r="O8" s="4">
        <v>50</v>
      </c>
      <c r="P8" s="4">
        <v>50</v>
      </c>
      <c r="Q8" s="4">
        <v>70</v>
      </c>
      <c r="R8" s="4">
        <v>30</v>
      </c>
      <c r="S8" s="71">
        <v>30</v>
      </c>
    </row>
    <row r="9" spans="1:19">
      <c r="A9" s="5" t="s">
        <v>177</v>
      </c>
      <c r="B9" s="5" t="s">
        <v>5</v>
      </c>
      <c r="C9" s="67">
        <v>1732023</v>
      </c>
      <c r="D9" s="70" t="s">
        <v>685</v>
      </c>
      <c r="E9" s="5" t="s">
        <v>364</v>
      </c>
      <c r="F9" s="5" t="s">
        <v>1149</v>
      </c>
      <c r="G9" s="5" t="s">
        <v>684</v>
      </c>
      <c r="H9" s="17" t="s">
        <v>1154</v>
      </c>
      <c r="I9" s="5">
        <f t="shared" si="1"/>
        <v>0</v>
      </c>
      <c r="J9" s="4">
        <v>0</v>
      </c>
      <c r="K9" s="4">
        <v>0</v>
      </c>
      <c r="L9" s="49"/>
      <c r="M9" s="49"/>
      <c r="N9" s="49"/>
      <c r="O9" s="49"/>
      <c r="P9" s="49"/>
      <c r="Q9" s="49"/>
      <c r="R9" s="49"/>
      <c r="S9" s="50"/>
    </row>
    <row r="10" spans="1:19">
      <c r="A10" s="5" t="s">
        <v>177</v>
      </c>
      <c r="B10" s="5" t="s">
        <v>5</v>
      </c>
      <c r="C10" s="67">
        <v>1700681</v>
      </c>
      <c r="D10" s="70" t="s">
        <v>683</v>
      </c>
      <c r="E10" s="5" t="s">
        <v>358</v>
      </c>
      <c r="F10" s="5" t="s">
        <v>1149</v>
      </c>
      <c r="G10" s="5" t="s">
        <v>677</v>
      </c>
      <c r="H10" s="17" t="s">
        <v>1154</v>
      </c>
      <c r="I10" s="5">
        <f t="shared" si="1"/>
        <v>0</v>
      </c>
      <c r="J10" s="4">
        <v>0</v>
      </c>
      <c r="K10" s="4">
        <v>0</v>
      </c>
      <c r="L10" s="4">
        <v>0</v>
      </c>
      <c r="M10" s="49"/>
      <c r="N10" s="49"/>
      <c r="O10" s="49"/>
      <c r="P10" s="49"/>
      <c r="Q10" s="49"/>
      <c r="R10" s="49"/>
      <c r="S10" s="50"/>
    </row>
    <row r="11" spans="1:19">
      <c r="A11" s="5" t="s">
        <v>177</v>
      </c>
      <c r="B11" s="5" t="s">
        <v>5</v>
      </c>
      <c r="C11" s="67">
        <v>1700590</v>
      </c>
      <c r="D11" s="70" t="s">
        <v>682</v>
      </c>
      <c r="E11" s="5" t="s">
        <v>409</v>
      </c>
      <c r="F11" s="5" t="s">
        <v>1149</v>
      </c>
      <c r="G11" s="5" t="s">
        <v>681</v>
      </c>
      <c r="H11" s="17" t="s">
        <v>1154</v>
      </c>
      <c r="I11" s="5">
        <f t="shared" si="1"/>
        <v>0</v>
      </c>
      <c r="J11" s="4">
        <v>0</v>
      </c>
      <c r="K11" s="4">
        <v>0</v>
      </c>
      <c r="L11" s="4">
        <v>0</v>
      </c>
      <c r="M11" s="49"/>
      <c r="N11" s="49"/>
      <c r="O11" s="49"/>
      <c r="P11" s="49"/>
      <c r="Q11" s="49"/>
      <c r="R11" s="49"/>
      <c r="S11" s="50"/>
    </row>
    <row r="12" spans="1:19">
      <c r="A12" s="5" t="s">
        <v>177</v>
      </c>
      <c r="B12" s="5" t="s">
        <v>5</v>
      </c>
      <c r="C12" s="67">
        <v>1580414</v>
      </c>
      <c r="D12" s="70" t="s">
        <v>147</v>
      </c>
      <c r="E12" s="5" t="s">
        <v>680</v>
      </c>
      <c r="F12" s="5" t="s">
        <v>1148</v>
      </c>
      <c r="G12" s="5" t="s">
        <v>679</v>
      </c>
      <c r="H12" s="149">
        <f t="shared" si="0"/>
        <v>-0.14529914529914531</v>
      </c>
      <c r="I12" s="150">
        <f t="shared" si="1"/>
        <v>-17</v>
      </c>
      <c r="J12" s="4">
        <v>100</v>
      </c>
      <c r="K12" s="4">
        <v>117</v>
      </c>
      <c r="L12" s="4">
        <v>117</v>
      </c>
      <c r="M12" s="4">
        <v>117</v>
      </c>
      <c r="N12" s="4">
        <v>175</v>
      </c>
      <c r="O12" s="4">
        <v>175</v>
      </c>
      <c r="P12" s="4">
        <v>175</v>
      </c>
      <c r="Q12" s="4">
        <v>175</v>
      </c>
      <c r="R12" s="4">
        <v>225</v>
      </c>
      <c r="S12" s="71">
        <v>225</v>
      </c>
    </row>
    <row r="13" spans="1:19">
      <c r="A13" s="5" t="s">
        <v>177</v>
      </c>
      <c r="B13" s="5" t="s">
        <v>5</v>
      </c>
      <c r="C13" s="67">
        <v>1148386</v>
      </c>
      <c r="D13" s="70" t="s">
        <v>678</v>
      </c>
      <c r="E13" s="5" t="s">
        <v>358</v>
      </c>
      <c r="F13" s="5" t="s">
        <v>1148</v>
      </c>
      <c r="G13" s="5" t="s">
        <v>677</v>
      </c>
      <c r="H13" s="149">
        <f t="shared" si="0"/>
        <v>-0.3165137614678899</v>
      </c>
      <c r="I13" s="150">
        <f t="shared" si="1"/>
        <v>-138</v>
      </c>
      <c r="J13" s="4">
        <v>298</v>
      </c>
      <c r="K13" s="4">
        <v>436</v>
      </c>
      <c r="L13" s="4">
        <v>316</v>
      </c>
      <c r="M13" s="4">
        <v>253</v>
      </c>
      <c r="N13" s="4">
        <v>201</v>
      </c>
      <c r="O13" s="4">
        <v>110</v>
      </c>
      <c r="P13" s="4">
        <v>99</v>
      </c>
      <c r="Q13" s="4">
        <v>99</v>
      </c>
      <c r="R13" s="4">
        <v>39</v>
      </c>
      <c r="S13" s="71">
        <v>0</v>
      </c>
    </row>
    <row r="14" spans="1:19">
      <c r="A14" s="5" t="s">
        <v>177</v>
      </c>
      <c r="B14" s="5" t="s">
        <v>5</v>
      </c>
      <c r="C14" s="67">
        <v>1122084</v>
      </c>
      <c r="D14" s="70" t="s">
        <v>676</v>
      </c>
      <c r="E14" s="5" t="s">
        <v>5</v>
      </c>
      <c r="F14" s="5" t="s">
        <v>1148</v>
      </c>
      <c r="G14" s="5" t="s">
        <v>675</v>
      </c>
      <c r="H14" s="149">
        <f t="shared" si="0"/>
        <v>-5.9955588452997782E-2</v>
      </c>
      <c r="I14" s="150">
        <f t="shared" si="1"/>
        <v>-81</v>
      </c>
      <c r="J14" s="194">
        <v>1270</v>
      </c>
      <c r="K14" s="54">
        <v>1351</v>
      </c>
      <c r="L14" s="54">
        <v>1175</v>
      </c>
      <c r="M14" s="54">
        <v>1100</v>
      </c>
      <c r="N14" s="54">
        <v>1100</v>
      </c>
      <c r="O14" s="54">
        <v>1200</v>
      </c>
      <c r="P14" s="54">
        <v>1250</v>
      </c>
      <c r="Q14" s="54">
        <v>1100</v>
      </c>
      <c r="R14" s="54">
        <v>1045</v>
      </c>
      <c r="S14" s="145">
        <v>800</v>
      </c>
    </row>
    <row r="15" spans="1:19" ht="15" thickBot="1">
      <c r="D15" s="72" t="str">
        <f>"Church Count: "&amp;COUNTA(D5:D14)</f>
        <v>Church Count: 10</v>
      </c>
      <c r="E15" s="49"/>
      <c r="F15" s="49"/>
      <c r="G15" s="151" t="s">
        <v>1207</v>
      </c>
      <c r="H15" s="17"/>
      <c r="I15" s="5"/>
      <c r="J15" s="201">
        <f t="shared" ref="J15:S15" si="2">SUM(J5:J14)</f>
        <v>1960</v>
      </c>
      <c r="K15" s="197">
        <f t="shared" si="2"/>
        <v>2143</v>
      </c>
      <c r="L15" s="197">
        <f t="shared" si="2"/>
        <v>2353</v>
      </c>
      <c r="M15" s="197">
        <f t="shared" si="2"/>
        <v>2214</v>
      </c>
      <c r="N15" s="197">
        <f t="shared" si="2"/>
        <v>2206</v>
      </c>
      <c r="O15" s="197">
        <f t="shared" si="2"/>
        <v>2180</v>
      </c>
      <c r="P15" s="197">
        <f t="shared" si="2"/>
        <v>2162</v>
      </c>
      <c r="Q15" s="197">
        <f t="shared" si="2"/>
        <v>2066</v>
      </c>
      <c r="R15" s="197">
        <f t="shared" si="2"/>
        <v>1952</v>
      </c>
      <c r="S15" s="198">
        <f t="shared" si="2"/>
        <v>1542</v>
      </c>
    </row>
    <row r="16" spans="1:19" ht="15" thickTop="1">
      <c r="D16" s="152" t="s">
        <v>1180</v>
      </c>
      <c r="E16" s="49"/>
      <c r="F16" s="49"/>
      <c r="G16" s="151" t="s">
        <v>1208</v>
      </c>
      <c r="H16" s="49"/>
      <c r="I16" s="49"/>
      <c r="J16" s="205">
        <f>J15-K15</f>
        <v>-183</v>
      </c>
      <c r="K16" s="49"/>
      <c r="L16" s="49"/>
      <c r="M16" s="49"/>
      <c r="N16" s="49"/>
      <c r="O16" s="49"/>
      <c r="P16" s="49"/>
      <c r="Q16" s="49"/>
      <c r="R16" s="49"/>
      <c r="S16" s="50"/>
    </row>
    <row r="17" spans="4:19">
      <c r="D17" s="153" t="s">
        <v>1181</v>
      </c>
      <c r="E17" s="146"/>
      <c r="F17" s="146"/>
      <c r="G17" s="151" t="s">
        <v>1209</v>
      </c>
      <c r="H17" s="49"/>
      <c r="I17" s="49"/>
      <c r="J17" s="206">
        <f>(J15-K15)/ABS(K15)</f>
        <v>-8.5394307046196924E-2</v>
      </c>
      <c r="K17" s="49"/>
      <c r="L17" s="49"/>
      <c r="M17" s="49"/>
      <c r="N17" s="49"/>
      <c r="O17" s="49"/>
      <c r="P17" s="49"/>
      <c r="Q17" s="49"/>
      <c r="R17" s="49"/>
      <c r="S17" s="50"/>
    </row>
    <row r="18" spans="4:19">
      <c r="D18" s="170" t="s">
        <v>1210</v>
      </c>
      <c r="E18" s="49"/>
      <c r="F18" s="49"/>
      <c r="G18" s="218" t="s">
        <v>1219</v>
      </c>
      <c r="H18" s="49"/>
      <c r="I18" s="49"/>
      <c r="J18" s="222">
        <f>J15-S15</f>
        <v>418</v>
      </c>
      <c r="K18" s="49"/>
      <c r="L18" s="49"/>
      <c r="M18" s="49"/>
      <c r="N18" s="49"/>
      <c r="O18" s="49"/>
      <c r="P18" s="49"/>
      <c r="Q18" s="49"/>
      <c r="R18" s="49"/>
      <c r="S18" s="50"/>
    </row>
    <row r="19" spans="4:19">
      <c r="D19" s="154" t="s">
        <v>1182</v>
      </c>
      <c r="E19" s="51"/>
      <c r="F19" s="51"/>
      <c r="G19" s="186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2"/>
    </row>
    <row r="20" spans="4:19">
      <c r="H20" s="17"/>
      <c r="I20" s="5"/>
    </row>
    <row r="21" spans="4:19">
      <c r="H21" s="17"/>
      <c r="I21" s="5"/>
    </row>
    <row r="22" spans="4:19">
      <c r="H22" s="17"/>
      <c r="I22" s="5"/>
    </row>
  </sheetData>
  <mergeCells count="1">
    <mergeCell ref="D1:S1"/>
  </mergeCells>
  <printOptions horizontalCentered="1"/>
  <pageMargins left="0.7" right="0.7" top="0.75" bottom="0.75" header="0.3" footer="0.3"/>
  <pageSetup scale="74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 enableFormatConditionsCalculation="0">
    <pageSetUpPr fitToPage="1"/>
  </sheetPr>
  <dimension ref="A1:S27"/>
  <sheetViews>
    <sheetView topLeftCell="D1" workbookViewId="0">
      <selection activeCell="J26" sqref="J26"/>
    </sheetView>
  </sheetViews>
  <sheetFormatPr baseColWidth="10" defaultColWidth="8.83203125" defaultRowHeight="14" x14ac:dyDescent="0"/>
  <cols>
    <col min="1" max="1" width="7.1640625" style="3" hidden="1" customWidth="1"/>
    <col min="2" max="2" width="10.83203125" style="3" hidden="1" customWidth="1"/>
    <col min="3" max="3" width="8.1640625" style="3" hidden="1" customWidth="1"/>
    <col min="4" max="4" width="41.5" style="3" customWidth="1"/>
    <col min="5" max="5" width="12" style="3" bestFit="1" customWidth="1"/>
    <col min="6" max="6" width="10" style="3" bestFit="1" customWidth="1"/>
    <col min="7" max="7" width="23.6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West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San Angelo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27</v>
      </c>
      <c r="B5" s="5" t="s">
        <v>695</v>
      </c>
      <c r="C5" s="67">
        <v>1088319</v>
      </c>
      <c r="D5" s="70" t="s">
        <v>25</v>
      </c>
      <c r="E5" s="5" t="s">
        <v>731</v>
      </c>
      <c r="F5" s="5" t="s">
        <v>1148</v>
      </c>
      <c r="G5" s="5" t="s">
        <v>730</v>
      </c>
      <c r="H5" s="58">
        <f>(J5-K5)/ABS(K5)</f>
        <v>0</v>
      </c>
      <c r="I5" s="59">
        <f>J5-K5</f>
        <v>0</v>
      </c>
      <c r="J5" s="4">
        <v>20</v>
      </c>
      <c r="K5" s="4">
        <v>20</v>
      </c>
      <c r="L5" s="4">
        <v>25</v>
      </c>
      <c r="M5" s="4">
        <v>35</v>
      </c>
      <c r="N5" s="4">
        <v>22</v>
      </c>
      <c r="O5" s="4">
        <v>22</v>
      </c>
      <c r="P5" s="4">
        <v>30</v>
      </c>
      <c r="Q5" s="4">
        <v>30</v>
      </c>
      <c r="R5" s="4">
        <v>45</v>
      </c>
      <c r="S5" s="71">
        <v>50</v>
      </c>
    </row>
    <row r="6" spans="1:19">
      <c r="A6" s="5" t="s">
        <v>27</v>
      </c>
      <c r="B6" s="5" t="s">
        <v>695</v>
      </c>
      <c r="C6" s="67">
        <v>1061894</v>
      </c>
      <c r="D6" s="70" t="s">
        <v>62</v>
      </c>
      <c r="E6" s="5" t="s">
        <v>713</v>
      </c>
      <c r="F6" s="5" t="s">
        <v>1148</v>
      </c>
      <c r="G6" s="5" t="s">
        <v>729</v>
      </c>
      <c r="H6" s="17">
        <f t="shared" ref="H6:H22" si="0">(J6-K6)/ABS(K6)</f>
        <v>1.7543859649122806E-2</v>
      </c>
      <c r="I6" s="5">
        <f t="shared" ref="I6:I22" si="1">J6-K6</f>
        <v>1</v>
      </c>
      <c r="J6" s="4">
        <v>58</v>
      </c>
      <c r="K6" s="4">
        <v>57</v>
      </c>
      <c r="L6" s="4">
        <v>48</v>
      </c>
      <c r="M6" s="4">
        <v>43</v>
      </c>
      <c r="N6" s="4">
        <v>33</v>
      </c>
      <c r="O6" s="4">
        <v>32</v>
      </c>
      <c r="P6" s="4">
        <v>42</v>
      </c>
      <c r="Q6" s="4">
        <v>40</v>
      </c>
      <c r="R6" s="4">
        <v>45</v>
      </c>
      <c r="S6" s="71">
        <v>50</v>
      </c>
    </row>
    <row r="7" spans="1:19">
      <c r="A7" s="5" t="s">
        <v>27</v>
      </c>
      <c r="B7" s="5" t="s">
        <v>695</v>
      </c>
      <c r="C7" s="67">
        <v>1061951</v>
      </c>
      <c r="D7" s="70" t="s">
        <v>25</v>
      </c>
      <c r="E7" s="5" t="s">
        <v>728</v>
      </c>
      <c r="F7" s="5" t="s">
        <v>1147</v>
      </c>
      <c r="G7" s="5" t="s">
        <v>727</v>
      </c>
      <c r="H7" s="174">
        <f t="shared" si="0"/>
        <v>0.125</v>
      </c>
      <c r="I7" s="173">
        <f t="shared" si="1"/>
        <v>5</v>
      </c>
      <c r="J7" s="4">
        <v>45</v>
      </c>
      <c r="K7" s="4">
        <v>40</v>
      </c>
      <c r="L7" s="4">
        <v>40</v>
      </c>
      <c r="M7" s="4">
        <v>35</v>
      </c>
      <c r="N7" s="4">
        <v>40</v>
      </c>
      <c r="O7" s="4">
        <v>50</v>
      </c>
      <c r="P7" s="4">
        <v>45</v>
      </c>
      <c r="Q7" s="4">
        <v>49</v>
      </c>
      <c r="R7" s="4">
        <v>40</v>
      </c>
      <c r="S7" s="71">
        <v>45</v>
      </c>
    </row>
    <row r="8" spans="1:19">
      <c r="A8" s="5" t="s">
        <v>27</v>
      </c>
      <c r="B8" s="5" t="s">
        <v>695</v>
      </c>
      <c r="C8" s="67">
        <v>1061977</v>
      </c>
      <c r="D8" s="70" t="s">
        <v>726</v>
      </c>
      <c r="E8" s="5" t="s">
        <v>725</v>
      </c>
      <c r="F8" s="5" t="s">
        <v>1147</v>
      </c>
      <c r="G8" s="5" t="s">
        <v>724</v>
      </c>
      <c r="H8" s="149">
        <f t="shared" si="0"/>
        <v>-0.8</v>
      </c>
      <c r="I8" s="150">
        <f t="shared" si="1"/>
        <v>-8</v>
      </c>
      <c r="J8" s="4">
        <v>2</v>
      </c>
      <c r="K8" s="4">
        <v>10</v>
      </c>
      <c r="L8" s="4">
        <v>5</v>
      </c>
      <c r="M8" s="4">
        <v>12</v>
      </c>
      <c r="N8" s="4">
        <v>15</v>
      </c>
      <c r="O8" s="4">
        <v>24</v>
      </c>
      <c r="P8" s="4">
        <v>23</v>
      </c>
      <c r="Q8" s="4">
        <v>30</v>
      </c>
      <c r="R8" s="4">
        <v>38</v>
      </c>
      <c r="S8" s="71">
        <v>30</v>
      </c>
    </row>
    <row r="9" spans="1:19">
      <c r="A9" s="5" t="s">
        <v>27</v>
      </c>
      <c r="B9" s="5" t="s">
        <v>695</v>
      </c>
      <c r="C9" s="67">
        <v>1061993</v>
      </c>
      <c r="D9" s="70" t="s">
        <v>723</v>
      </c>
      <c r="E9" s="5" t="s">
        <v>695</v>
      </c>
      <c r="F9" s="5" t="s">
        <v>1147</v>
      </c>
      <c r="G9" s="5" t="s">
        <v>722</v>
      </c>
      <c r="H9" s="58">
        <f t="shared" si="0"/>
        <v>0</v>
      </c>
      <c r="I9" s="59">
        <f t="shared" si="1"/>
        <v>0</v>
      </c>
      <c r="J9" s="4">
        <v>70</v>
      </c>
      <c r="K9" s="4">
        <v>70</v>
      </c>
      <c r="L9" s="4">
        <v>70</v>
      </c>
      <c r="M9" s="4">
        <v>70</v>
      </c>
      <c r="N9" s="4">
        <v>65</v>
      </c>
      <c r="O9" s="4">
        <v>65</v>
      </c>
      <c r="P9" s="4">
        <v>65</v>
      </c>
      <c r="Q9" s="4">
        <v>65</v>
      </c>
      <c r="R9" s="4">
        <v>70</v>
      </c>
      <c r="S9" s="71">
        <v>70</v>
      </c>
    </row>
    <row r="10" spans="1:19">
      <c r="A10" s="5" t="s">
        <v>27</v>
      </c>
      <c r="B10" s="5" t="s">
        <v>695</v>
      </c>
      <c r="C10" s="67">
        <v>1062009</v>
      </c>
      <c r="D10" s="70" t="s">
        <v>25</v>
      </c>
      <c r="E10" s="5" t="s">
        <v>695</v>
      </c>
      <c r="F10" s="5" t="s">
        <v>1148</v>
      </c>
      <c r="G10" s="5" t="s">
        <v>721</v>
      </c>
      <c r="H10" s="149">
        <f t="shared" si="0"/>
        <v>-0.27272727272727271</v>
      </c>
      <c r="I10" s="150">
        <f t="shared" si="1"/>
        <v>-150</v>
      </c>
      <c r="J10" s="4">
        <v>400</v>
      </c>
      <c r="K10" s="4">
        <v>550</v>
      </c>
      <c r="L10" s="4">
        <v>350</v>
      </c>
      <c r="M10" s="4">
        <v>349</v>
      </c>
      <c r="N10" s="4">
        <v>330</v>
      </c>
      <c r="O10" s="4">
        <v>297</v>
      </c>
      <c r="P10" s="4">
        <v>250</v>
      </c>
      <c r="Q10" s="4">
        <v>250</v>
      </c>
      <c r="R10" s="4">
        <v>284</v>
      </c>
      <c r="S10" s="71">
        <v>284</v>
      </c>
    </row>
    <row r="11" spans="1:19">
      <c r="A11" s="5" t="s">
        <v>27</v>
      </c>
      <c r="B11" s="5" t="s">
        <v>695</v>
      </c>
      <c r="C11" s="67">
        <v>1062033</v>
      </c>
      <c r="D11" s="70" t="s">
        <v>720</v>
      </c>
      <c r="E11" s="5" t="s">
        <v>695</v>
      </c>
      <c r="F11" s="5" t="s">
        <v>1147</v>
      </c>
      <c r="G11" s="5" t="s">
        <v>719</v>
      </c>
      <c r="H11" s="17">
        <f t="shared" si="0"/>
        <v>0.1875</v>
      </c>
      <c r="I11" s="5">
        <f t="shared" si="1"/>
        <v>6</v>
      </c>
      <c r="J11" s="4">
        <v>38</v>
      </c>
      <c r="K11" s="4">
        <v>32</v>
      </c>
      <c r="L11" s="4">
        <v>32</v>
      </c>
      <c r="M11" s="4">
        <v>40</v>
      </c>
      <c r="N11" s="4">
        <v>43</v>
      </c>
      <c r="O11" s="4">
        <v>25</v>
      </c>
      <c r="P11" s="4">
        <v>25</v>
      </c>
      <c r="Q11" s="4">
        <v>33</v>
      </c>
      <c r="R11" s="4">
        <v>35</v>
      </c>
      <c r="S11" s="71">
        <v>35</v>
      </c>
    </row>
    <row r="12" spans="1:19">
      <c r="A12" s="5" t="s">
        <v>27</v>
      </c>
      <c r="B12" s="5" t="s">
        <v>695</v>
      </c>
      <c r="C12" s="67">
        <v>1061449</v>
      </c>
      <c r="D12" s="70" t="s">
        <v>718</v>
      </c>
      <c r="E12" s="5" t="s">
        <v>717</v>
      </c>
      <c r="F12" s="5" t="s">
        <v>1148</v>
      </c>
      <c r="G12" s="5" t="s">
        <v>716</v>
      </c>
      <c r="H12" s="149">
        <f t="shared" si="0"/>
        <v>-7.4999999999999997E-2</v>
      </c>
      <c r="I12" s="150">
        <f t="shared" si="1"/>
        <v>-3</v>
      </c>
      <c r="J12" s="4">
        <v>37</v>
      </c>
      <c r="K12" s="4">
        <v>40</v>
      </c>
      <c r="L12" s="4">
        <v>35</v>
      </c>
      <c r="M12" s="4">
        <v>34</v>
      </c>
      <c r="N12" s="4">
        <v>35</v>
      </c>
      <c r="O12" s="4">
        <v>33</v>
      </c>
      <c r="P12" s="4">
        <v>33</v>
      </c>
      <c r="Q12" s="4">
        <v>36</v>
      </c>
      <c r="R12" s="4">
        <v>35</v>
      </c>
      <c r="S12" s="71">
        <v>40</v>
      </c>
    </row>
    <row r="13" spans="1:19">
      <c r="A13" s="5" t="s">
        <v>27</v>
      </c>
      <c r="B13" s="5" t="s">
        <v>695</v>
      </c>
      <c r="C13" s="67">
        <v>1067271</v>
      </c>
      <c r="D13" s="70" t="s">
        <v>75</v>
      </c>
      <c r="E13" s="5" t="s">
        <v>715</v>
      </c>
      <c r="F13" s="5" t="s">
        <v>1147</v>
      </c>
      <c r="G13" s="5" t="s">
        <v>3</v>
      </c>
      <c r="H13" s="58">
        <f t="shared" si="0"/>
        <v>0</v>
      </c>
      <c r="I13" s="59">
        <f t="shared" si="1"/>
        <v>0</v>
      </c>
      <c r="J13" s="4">
        <v>7</v>
      </c>
      <c r="K13" s="4">
        <v>7</v>
      </c>
      <c r="L13" s="4">
        <v>14</v>
      </c>
      <c r="M13" s="4">
        <v>14</v>
      </c>
      <c r="N13" s="4">
        <v>8</v>
      </c>
      <c r="O13" s="4">
        <v>8</v>
      </c>
      <c r="P13" s="4">
        <v>6</v>
      </c>
      <c r="Q13" s="4">
        <v>8</v>
      </c>
      <c r="R13" s="4">
        <v>10</v>
      </c>
      <c r="S13" s="71">
        <v>9</v>
      </c>
    </row>
    <row r="14" spans="1:19">
      <c r="A14" s="5" t="s">
        <v>27</v>
      </c>
      <c r="B14" s="5" t="s">
        <v>695</v>
      </c>
      <c r="C14" s="67">
        <v>1722164</v>
      </c>
      <c r="D14" s="70" t="s">
        <v>714</v>
      </c>
      <c r="E14" s="5" t="s">
        <v>713</v>
      </c>
      <c r="F14" s="5" t="s">
        <v>1149</v>
      </c>
      <c r="G14" s="5" t="s">
        <v>712</v>
      </c>
      <c r="H14" s="17" t="s">
        <v>1154</v>
      </c>
      <c r="I14" s="5">
        <f t="shared" si="1"/>
        <v>0</v>
      </c>
      <c r="J14" s="4">
        <v>0</v>
      </c>
      <c r="K14" s="4">
        <v>0</v>
      </c>
      <c r="L14" s="49"/>
      <c r="M14" s="49"/>
      <c r="N14" s="49"/>
      <c r="O14" s="49"/>
      <c r="P14" s="49"/>
      <c r="Q14" s="49"/>
      <c r="R14" s="49"/>
      <c r="S14" s="50"/>
    </row>
    <row r="15" spans="1:19">
      <c r="A15" s="5" t="s">
        <v>27</v>
      </c>
      <c r="B15" s="5" t="s">
        <v>695</v>
      </c>
      <c r="C15" s="67">
        <v>1089614</v>
      </c>
      <c r="D15" s="70" t="s">
        <v>711</v>
      </c>
      <c r="E15" s="5" t="s">
        <v>695</v>
      </c>
      <c r="F15" s="5" t="s">
        <v>1147</v>
      </c>
      <c r="G15" s="5" t="s">
        <v>710</v>
      </c>
      <c r="H15" s="58">
        <f t="shared" si="0"/>
        <v>0</v>
      </c>
      <c r="I15" s="59">
        <f t="shared" si="1"/>
        <v>0</v>
      </c>
      <c r="J15" s="148">
        <v>700</v>
      </c>
      <c r="K15" s="4">
        <v>700</v>
      </c>
      <c r="L15" s="4">
        <v>700</v>
      </c>
      <c r="M15" s="4">
        <v>750</v>
      </c>
      <c r="N15" s="4">
        <v>800</v>
      </c>
      <c r="O15" s="4">
        <v>650</v>
      </c>
      <c r="P15" s="4">
        <v>700</v>
      </c>
      <c r="Q15" s="4">
        <v>700</v>
      </c>
      <c r="R15" s="4">
        <v>700</v>
      </c>
      <c r="S15" s="71">
        <v>700</v>
      </c>
    </row>
    <row r="16" spans="1:19">
      <c r="A16" s="5" t="s">
        <v>27</v>
      </c>
      <c r="B16" s="5" t="s">
        <v>695</v>
      </c>
      <c r="C16" s="67">
        <v>1109255</v>
      </c>
      <c r="D16" s="70" t="s">
        <v>204</v>
      </c>
      <c r="E16" s="5" t="s">
        <v>709</v>
      </c>
      <c r="F16" s="5" t="s">
        <v>1147</v>
      </c>
      <c r="G16" s="5" t="s">
        <v>708</v>
      </c>
      <c r="H16" s="149">
        <f t="shared" si="0"/>
        <v>-0.14285714285714285</v>
      </c>
      <c r="I16" s="150">
        <f t="shared" si="1"/>
        <v>-6</v>
      </c>
      <c r="J16" s="4">
        <v>36</v>
      </c>
      <c r="K16" s="4">
        <v>42</v>
      </c>
      <c r="L16" s="4">
        <v>45</v>
      </c>
      <c r="M16" s="4">
        <v>38</v>
      </c>
      <c r="N16" s="4">
        <v>40</v>
      </c>
      <c r="O16" s="4">
        <v>33</v>
      </c>
      <c r="P16" s="4">
        <v>37</v>
      </c>
      <c r="Q16" s="4">
        <v>25</v>
      </c>
      <c r="R16" s="4">
        <v>12</v>
      </c>
      <c r="S16" s="71">
        <v>15</v>
      </c>
    </row>
    <row r="17" spans="1:19">
      <c r="A17" s="5" t="s">
        <v>27</v>
      </c>
      <c r="B17" s="5" t="s">
        <v>695</v>
      </c>
      <c r="C17" s="67">
        <v>1110592</v>
      </c>
      <c r="D17" s="70" t="s">
        <v>707</v>
      </c>
      <c r="E17" s="5" t="s">
        <v>706</v>
      </c>
      <c r="F17" s="5" t="s">
        <v>1147</v>
      </c>
      <c r="G17" s="5" t="s">
        <v>705</v>
      </c>
      <c r="H17" s="149">
        <f t="shared" si="0"/>
        <v>-0.14285714285714285</v>
      </c>
      <c r="I17" s="150">
        <f t="shared" si="1"/>
        <v>-4</v>
      </c>
      <c r="J17" s="4">
        <v>24</v>
      </c>
      <c r="K17" s="4">
        <v>28</v>
      </c>
      <c r="L17" s="4">
        <v>25</v>
      </c>
      <c r="M17" s="4">
        <v>25</v>
      </c>
      <c r="N17" s="4">
        <v>20</v>
      </c>
      <c r="O17" s="4">
        <v>20</v>
      </c>
      <c r="P17" s="4">
        <v>30</v>
      </c>
      <c r="Q17" s="4">
        <v>25</v>
      </c>
      <c r="R17" s="4">
        <v>30</v>
      </c>
      <c r="S17" s="71">
        <v>30</v>
      </c>
    </row>
    <row r="18" spans="1:19">
      <c r="A18" s="5" t="s">
        <v>27</v>
      </c>
      <c r="B18" s="5" t="s">
        <v>695</v>
      </c>
      <c r="C18" s="67">
        <v>1159813</v>
      </c>
      <c r="D18" s="70" t="s">
        <v>1170</v>
      </c>
      <c r="E18" s="5" t="s">
        <v>695</v>
      </c>
      <c r="F18" s="5" t="s">
        <v>1147</v>
      </c>
      <c r="G18" s="5" t="s">
        <v>704</v>
      </c>
      <c r="H18" s="58">
        <f t="shared" si="0"/>
        <v>0</v>
      </c>
      <c r="I18" s="59">
        <f t="shared" si="1"/>
        <v>0</v>
      </c>
      <c r="J18" s="4">
        <v>54</v>
      </c>
      <c r="K18" s="4">
        <v>54</v>
      </c>
      <c r="L18" s="4">
        <v>47</v>
      </c>
      <c r="M18" s="4">
        <v>60</v>
      </c>
      <c r="N18" s="4">
        <v>62</v>
      </c>
      <c r="O18" s="4">
        <v>24</v>
      </c>
      <c r="P18" s="4">
        <v>24</v>
      </c>
      <c r="Q18" s="4">
        <v>24</v>
      </c>
      <c r="R18" s="4">
        <v>24</v>
      </c>
      <c r="S18" s="50"/>
    </row>
    <row r="19" spans="1:19">
      <c r="A19" s="5" t="s">
        <v>27</v>
      </c>
      <c r="B19" s="5" t="s">
        <v>695</v>
      </c>
      <c r="C19" s="67">
        <v>1517325</v>
      </c>
      <c r="D19" s="70" t="s">
        <v>703</v>
      </c>
      <c r="E19" s="5" t="s">
        <v>702</v>
      </c>
      <c r="F19" s="5" t="s">
        <v>1147</v>
      </c>
      <c r="G19" s="5" t="s">
        <v>701</v>
      </c>
      <c r="H19" s="58">
        <f t="shared" si="0"/>
        <v>0</v>
      </c>
      <c r="I19" s="59">
        <f t="shared" si="1"/>
        <v>0</v>
      </c>
      <c r="J19" s="4">
        <v>10</v>
      </c>
      <c r="K19" s="4">
        <v>10</v>
      </c>
      <c r="L19" s="4">
        <v>8</v>
      </c>
      <c r="M19" s="4">
        <v>8</v>
      </c>
      <c r="N19" s="4">
        <v>8</v>
      </c>
      <c r="O19" s="4">
        <v>11</v>
      </c>
      <c r="P19" s="4">
        <v>13</v>
      </c>
      <c r="Q19" s="4">
        <v>23</v>
      </c>
      <c r="R19" s="4">
        <v>20</v>
      </c>
      <c r="S19" s="71">
        <v>22</v>
      </c>
    </row>
    <row r="20" spans="1:19">
      <c r="A20" s="5" t="s">
        <v>27</v>
      </c>
      <c r="B20" s="5" t="s">
        <v>695</v>
      </c>
      <c r="C20" s="67">
        <v>1627173</v>
      </c>
      <c r="D20" s="70" t="s">
        <v>25</v>
      </c>
      <c r="E20" s="5" t="s">
        <v>700</v>
      </c>
      <c r="F20" s="5" t="s">
        <v>1147</v>
      </c>
      <c r="G20" s="5" t="s">
        <v>699</v>
      </c>
      <c r="H20" s="147">
        <f t="shared" si="0"/>
        <v>0.55555555555555558</v>
      </c>
      <c r="I20" s="173">
        <f t="shared" si="1"/>
        <v>25</v>
      </c>
      <c r="J20" s="4">
        <v>70</v>
      </c>
      <c r="K20" s="4">
        <v>45</v>
      </c>
      <c r="L20" s="4">
        <v>55</v>
      </c>
      <c r="M20" s="4">
        <v>45</v>
      </c>
      <c r="N20" s="4">
        <v>32</v>
      </c>
      <c r="O20" s="4">
        <v>38</v>
      </c>
      <c r="P20" s="4">
        <v>43</v>
      </c>
      <c r="Q20" s="4">
        <v>43</v>
      </c>
      <c r="R20" s="4">
        <v>50</v>
      </c>
      <c r="S20" s="71">
        <v>45</v>
      </c>
    </row>
    <row r="21" spans="1:19">
      <c r="A21" s="5" t="s">
        <v>27</v>
      </c>
      <c r="B21" s="5" t="s">
        <v>695</v>
      </c>
      <c r="C21" s="67">
        <v>1689355</v>
      </c>
      <c r="D21" s="70" t="s">
        <v>698</v>
      </c>
      <c r="E21" s="5" t="s">
        <v>697</v>
      </c>
      <c r="F21" s="5" t="s">
        <v>1147</v>
      </c>
      <c r="G21" s="5" t="s">
        <v>696</v>
      </c>
      <c r="H21" s="58">
        <f t="shared" si="0"/>
        <v>0</v>
      </c>
      <c r="I21" s="59">
        <f t="shared" si="1"/>
        <v>0</v>
      </c>
      <c r="J21" s="4">
        <v>40</v>
      </c>
      <c r="K21" s="4">
        <v>40</v>
      </c>
      <c r="L21" s="4">
        <v>40</v>
      </c>
      <c r="M21" s="4">
        <v>40</v>
      </c>
      <c r="N21" s="4">
        <v>36</v>
      </c>
      <c r="O21" s="4">
        <v>50</v>
      </c>
      <c r="P21" s="4">
        <v>41</v>
      </c>
      <c r="Q21" s="4">
        <v>47</v>
      </c>
      <c r="R21" s="4">
        <v>70</v>
      </c>
      <c r="S21" s="71">
        <v>70</v>
      </c>
    </row>
    <row r="22" spans="1:19">
      <c r="A22" s="5" t="s">
        <v>27</v>
      </c>
      <c r="B22" s="5" t="s">
        <v>695</v>
      </c>
      <c r="C22" s="67">
        <v>1065499</v>
      </c>
      <c r="D22" s="70" t="s">
        <v>25</v>
      </c>
      <c r="E22" s="5" t="s">
        <v>694</v>
      </c>
      <c r="F22" s="5" t="s">
        <v>1147</v>
      </c>
      <c r="G22" s="5" t="s">
        <v>3</v>
      </c>
      <c r="H22" s="149">
        <f t="shared" si="0"/>
        <v>-0.21052631578947367</v>
      </c>
      <c r="I22" s="150">
        <f t="shared" si="1"/>
        <v>-4</v>
      </c>
      <c r="J22" s="54">
        <v>15</v>
      </c>
      <c r="K22" s="54">
        <v>19</v>
      </c>
      <c r="L22" s="54">
        <v>24</v>
      </c>
      <c r="M22" s="54">
        <v>23</v>
      </c>
      <c r="N22" s="54">
        <v>30</v>
      </c>
      <c r="O22" s="54">
        <v>28</v>
      </c>
      <c r="P22" s="54">
        <v>28</v>
      </c>
      <c r="Q22" s="54">
        <v>27</v>
      </c>
      <c r="R22" s="54">
        <v>35</v>
      </c>
      <c r="S22" s="145">
        <v>40</v>
      </c>
    </row>
    <row r="23" spans="1:19" ht="15" thickBot="1">
      <c r="D23" s="72" t="str">
        <f>"Church Count: "&amp;COUNTA(D5:D22)</f>
        <v>Church Count: 18</v>
      </c>
      <c r="E23" s="49"/>
      <c r="F23" s="49"/>
      <c r="G23" s="151" t="s">
        <v>1207</v>
      </c>
      <c r="H23" s="49"/>
      <c r="I23" s="49"/>
      <c r="J23" s="197">
        <f t="shared" ref="J23:S23" si="2">SUM(J5:J22)</f>
        <v>1626</v>
      </c>
      <c r="K23" s="197">
        <f t="shared" si="2"/>
        <v>1764</v>
      </c>
      <c r="L23" s="197">
        <f t="shared" si="2"/>
        <v>1563</v>
      </c>
      <c r="M23" s="197">
        <f t="shared" si="2"/>
        <v>1621</v>
      </c>
      <c r="N23" s="197">
        <f t="shared" si="2"/>
        <v>1619</v>
      </c>
      <c r="O23" s="197">
        <f t="shared" si="2"/>
        <v>1410</v>
      </c>
      <c r="P23" s="197">
        <f t="shared" si="2"/>
        <v>1435</v>
      </c>
      <c r="Q23" s="197">
        <f t="shared" si="2"/>
        <v>1455</v>
      </c>
      <c r="R23" s="197">
        <f t="shared" si="2"/>
        <v>1543</v>
      </c>
      <c r="S23" s="198">
        <f t="shared" si="2"/>
        <v>1535</v>
      </c>
    </row>
    <row r="24" spans="1:19" ht="15" thickTop="1">
      <c r="D24" s="152" t="s">
        <v>1180</v>
      </c>
      <c r="E24" s="49"/>
      <c r="F24" s="49"/>
      <c r="G24" s="151" t="s">
        <v>1208</v>
      </c>
      <c r="H24" s="49"/>
      <c r="I24" s="49"/>
      <c r="J24" s="205">
        <f>J23-K23</f>
        <v>-138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D25" s="153" t="s">
        <v>1181</v>
      </c>
      <c r="E25" s="146"/>
      <c r="F25" s="146"/>
      <c r="G25" s="151" t="s">
        <v>1209</v>
      </c>
      <c r="H25" s="49"/>
      <c r="I25" s="49"/>
      <c r="J25" s="206">
        <f>(J23-K23)/ABS(K23)</f>
        <v>-7.8231292517006806E-2</v>
      </c>
      <c r="K25" s="49"/>
      <c r="L25" s="49"/>
      <c r="M25" s="49"/>
      <c r="N25" s="49"/>
      <c r="O25" s="49"/>
      <c r="P25" s="49"/>
      <c r="Q25" s="49"/>
      <c r="R25" s="49"/>
      <c r="S25" s="50"/>
    </row>
    <row r="26" spans="1:19">
      <c r="D26" s="170" t="s">
        <v>1210</v>
      </c>
      <c r="E26" s="49"/>
      <c r="F26" s="49"/>
      <c r="G26" s="218" t="s">
        <v>1219</v>
      </c>
      <c r="H26" s="49"/>
      <c r="I26" s="49"/>
      <c r="J26" s="222">
        <f>J23-S23</f>
        <v>91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54" t="s">
        <v>1182</v>
      </c>
      <c r="E27" s="51"/>
      <c r="F27" s="51"/>
      <c r="G27" s="18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2"/>
    </row>
  </sheetData>
  <mergeCells count="1">
    <mergeCell ref="D1:S1"/>
  </mergeCells>
  <printOptions horizontalCentered="1"/>
  <pageMargins left="0.7" right="0.7" top="0.75" bottom="0.75" header="0.3" footer="0.3"/>
  <pageSetup scale="71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 enableFormatConditionsCalculation="0">
    <pageSetUpPr fitToPage="1"/>
  </sheetPr>
  <dimension ref="A1:S27"/>
  <sheetViews>
    <sheetView topLeftCell="D1" workbookViewId="0">
      <selection activeCell="J26" sqref="J26"/>
    </sheetView>
  </sheetViews>
  <sheetFormatPr baseColWidth="10" defaultColWidth="8.83203125" defaultRowHeight="14" x14ac:dyDescent="0"/>
  <cols>
    <col min="1" max="1" width="13.1640625" style="3" hidden="1" customWidth="1"/>
    <col min="2" max="2" width="12.33203125" style="3" hidden="1" customWidth="1"/>
    <col min="3" max="3" width="8.1640625" style="3" hidden="1" customWidth="1"/>
    <col min="4" max="4" width="37" style="3" customWidth="1"/>
    <col min="5" max="5" width="14.33203125" style="3" bestFit="1" customWidth="1"/>
    <col min="6" max="6" width="10" style="3" bestFit="1" customWidth="1"/>
    <col min="7" max="7" width="23.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South Austin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68</v>
      </c>
      <c r="B5" s="5" t="s">
        <v>734</v>
      </c>
      <c r="C5" s="67">
        <v>1145663</v>
      </c>
      <c r="D5" s="70" t="s">
        <v>771</v>
      </c>
      <c r="E5" s="5" t="s">
        <v>469</v>
      </c>
      <c r="F5" s="5" t="s">
        <v>1148</v>
      </c>
      <c r="G5" s="5" t="s">
        <v>770</v>
      </c>
      <c r="H5" s="58">
        <f>(J5-K5)/ABS(K5)</f>
        <v>0</v>
      </c>
      <c r="I5" s="59">
        <f>J5-K5</f>
        <v>0</v>
      </c>
      <c r="J5" s="148">
        <v>257</v>
      </c>
      <c r="K5" s="4">
        <v>257</v>
      </c>
      <c r="L5" s="4">
        <v>279</v>
      </c>
      <c r="M5" s="4">
        <v>255</v>
      </c>
      <c r="N5" s="4">
        <v>177</v>
      </c>
      <c r="O5" s="4">
        <v>148</v>
      </c>
      <c r="P5" s="4">
        <v>160</v>
      </c>
      <c r="Q5" s="4">
        <v>145</v>
      </c>
      <c r="R5" s="4">
        <v>125</v>
      </c>
      <c r="S5" s="71">
        <v>92</v>
      </c>
    </row>
    <row r="6" spans="1:19">
      <c r="A6" s="5" t="s">
        <v>68</v>
      </c>
      <c r="B6" s="5" t="s">
        <v>734</v>
      </c>
      <c r="C6" s="67">
        <v>1065390</v>
      </c>
      <c r="D6" s="70" t="s">
        <v>769</v>
      </c>
      <c r="E6" s="5" t="s">
        <v>768</v>
      </c>
      <c r="F6" s="5" t="s">
        <v>1147</v>
      </c>
      <c r="G6" s="5" t="s">
        <v>767</v>
      </c>
      <c r="H6" s="174">
        <f t="shared" ref="H6:H22" si="0">(J6-K6)/ABS(K6)</f>
        <v>0.11764705882352941</v>
      </c>
      <c r="I6" s="173">
        <f t="shared" ref="I6:I22" si="1">J6-K6</f>
        <v>4</v>
      </c>
      <c r="J6" s="4">
        <v>38</v>
      </c>
      <c r="K6" s="4">
        <v>34</v>
      </c>
      <c r="L6" s="4">
        <v>25</v>
      </c>
      <c r="M6" s="4">
        <v>30</v>
      </c>
      <c r="N6" s="4">
        <v>23</v>
      </c>
      <c r="O6" s="4">
        <v>16</v>
      </c>
      <c r="P6" s="4">
        <v>20</v>
      </c>
      <c r="Q6" s="4">
        <v>30</v>
      </c>
      <c r="R6" s="4">
        <v>25</v>
      </c>
      <c r="S6" s="71">
        <v>30</v>
      </c>
    </row>
    <row r="7" spans="1:19">
      <c r="A7" s="5" t="s">
        <v>68</v>
      </c>
      <c r="B7" s="5" t="s">
        <v>734</v>
      </c>
      <c r="C7" s="67">
        <v>1065507</v>
      </c>
      <c r="D7" s="70" t="s">
        <v>766</v>
      </c>
      <c r="E7" s="5" t="s">
        <v>765</v>
      </c>
      <c r="F7" s="5" t="s">
        <v>1147</v>
      </c>
      <c r="G7" s="5" t="s">
        <v>764</v>
      </c>
      <c r="H7" s="149">
        <f t="shared" si="0"/>
        <v>-0.1111111111111111</v>
      </c>
      <c r="I7" s="150">
        <f t="shared" si="1"/>
        <v>-5</v>
      </c>
      <c r="J7" s="4">
        <v>40</v>
      </c>
      <c r="K7" s="4">
        <v>45</v>
      </c>
      <c r="L7" s="4">
        <v>45</v>
      </c>
      <c r="M7" s="4">
        <v>40</v>
      </c>
      <c r="N7" s="4">
        <v>27</v>
      </c>
      <c r="O7" s="4">
        <v>52</v>
      </c>
      <c r="P7" s="4">
        <v>50</v>
      </c>
      <c r="Q7" s="4">
        <v>35</v>
      </c>
      <c r="R7" s="4">
        <v>60</v>
      </c>
      <c r="S7" s="71">
        <v>93</v>
      </c>
    </row>
    <row r="8" spans="1:19">
      <c r="A8" s="5" t="s">
        <v>68</v>
      </c>
      <c r="B8" s="5" t="s">
        <v>734</v>
      </c>
      <c r="C8" s="67">
        <v>1065515</v>
      </c>
      <c r="D8" s="70" t="s">
        <v>25</v>
      </c>
      <c r="E8" s="5" t="s">
        <v>763</v>
      </c>
      <c r="F8" s="5" t="s">
        <v>1148</v>
      </c>
      <c r="G8" s="5" t="s">
        <v>762</v>
      </c>
      <c r="H8" s="149">
        <f t="shared" si="0"/>
        <v>-1.6393442622950821E-2</v>
      </c>
      <c r="I8" s="150">
        <f t="shared" si="1"/>
        <v>-2</v>
      </c>
      <c r="J8" s="4">
        <v>120</v>
      </c>
      <c r="K8" s="4">
        <v>122</v>
      </c>
      <c r="L8" s="4">
        <v>205</v>
      </c>
      <c r="M8" s="4">
        <v>284</v>
      </c>
      <c r="N8" s="4">
        <v>174</v>
      </c>
      <c r="O8" s="4">
        <v>198</v>
      </c>
      <c r="P8" s="4">
        <v>142</v>
      </c>
      <c r="Q8" s="4">
        <v>220</v>
      </c>
      <c r="R8" s="4">
        <v>280</v>
      </c>
      <c r="S8" s="71">
        <v>285</v>
      </c>
    </row>
    <row r="9" spans="1:19">
      <c r="A9" s="5" t="s">
        <v>68</v>
      </c>
      <c r="B9" s="5" t="s">
        <v>734</v>
      </c>
      <c r="C9" s="67">
        <v>1065531</v>
      </c>
      <c r="D9" s="70" t="s">
        <v>1171</v>
      </c>
      <c r="E9" s="5" t="s">
        <v>738</v>
      </c>
      <c r="F9" s="5" t="s">
        <v>1147</v>
      </c>
      <c r="G9" s="5" t="s">
        <v>761</v>
      </c>
      <c r="H9" s="17">
        <f t="shared" si="0"/>
        <v>5.8823529411764705E-2</v>
      </c>
      <c r="I9" s="5">
        <f t="shared" si="1"/>
        <v>3</v>
      </c>
      <c r="J9" s="4">
        <v>54</v>
      </c>
      <c r="K9" s="4">
        <v>51</v>
      </c>
      <c r="L9" s="4">
        <v>56</v>
      </c>
      <c r="M9" s="4">
        <v>57</v>
      </c>
      <c r="N9" s="4">
        <v>61</v>
      </c>
      <c r="O9" s="4">
        <v>57</v>
      </c>
      <c r="P9" s="4">
        <v>56</v>
      </c>
      <c r="Q9" s="4">
        <v>65</v>
      </c>
      <c r="R9" s="4">
        <v>68</v>
      </c>
      <c r="S9" s="71">
        <v>92</v>
      </c>
    </row>
    <row r="10" spans="1:19">
      <c r="A10" s="5" t="s">
        <v>68</v>
      </c>
      <c r="B10" s="5" t="s">
        <v>734</v>
      </c>
      <c r="C10" s="67">
        <v>1065549</v>
      </c>
      <c r="D10" s="70" t="s">
        <v>760</v>
      </c>
      <c r="E10" s="5" t="s">
        <v>759</v>
      </c>
      <c r="F10" s="5" t="s">
        <v>1147</v>
      </c>
      <c r="G10" s="5" t="s">
        <v>758</v>
      </c>
      <c r="H10" s="149">
        <f t="shared" si="0"/>
        <v>-0.11764705882352941</v>
      </c>
      <c r="I10" s="150">
        <f t="shared" si="1"/>
        <v>-2</v>
      </c>
      <c r="J10" s="4">
        <v>15</v>
      </c>
      <c r="K10" s="4">
        <v>17</v>
      </c>
      <c r="L10" s="4">
        <v>18</v>
      </c>
      <c r="M10" s="4">
        <v>22</v>
      </c>
      <c r="N10" s="4">
        <v>22</v>
      </c>
      <c r="O10" s="4">
        <v>19</v>
      </c>
      <c r="P10" s="4">
        <v>19</v>
      </c>
      <c r="Q10" s="4">
        <v>23</v>
      </c>
      <c r="R10" s="4">
        <v>35</v>
      </c>
      <c r="S10" s="71">
        <v>35</v>
      </c>
    </row>
    <row r="11" spans="1:19">
      <c r="A11" s="5" t="s">
        <v>68</v>
      </c>
      <c r="B11" s="5" t="s">
        <v>734</v>
      </c>
      <c r="C11" s="67">
        <v>1065697</v>
      </c>
      <c r="D11" s="70" t="s">
        <v>55</v>
      </c>
      <c r="E11" s="5" t="s">
        <v>469</v>
      </c>
      <c r="F11" s="5" t="s">
        <v>1147</v>
      </c>
      <c r="G11" s="5" t="s">
        <v>757</v>
      </c>
      <c r="H11" s="174">
        <f t="shared" si="0"/>
        <v>0.46875</v>
      </c>
      <c r="I11" s="173">
        <f t="shared" si="1"/>
        <v>15</v>
      </c>
      <c r="J11" s="4">
        <v>47</v>
      </c>
      <c r="K11" s="4">
        <v>32</v>
      </c>
      <c r="L11" s="4">
        <v>26</v>
      </c>
      <c r="M11" s="4">
        <v>41</v>
      </c>
      <c r="N11" s="4">
        <v>45</v>
      </c>
      <c r="O11" s="4">
        <v>55</v>
      </c>
      <c r="P11" s="4">
        <v>75</v>
      </c>
      <c r="Q11" s="4">
        <v>100</v>
      </c>
      <c r="R11" s="4">
        <v>80</v>
      </c>
      <c r="S11" s="71">
        <v>110</v>
      </c>
    </row>
    <row r="12" spans="1:19">
      <c r="A12" s="5" t="s">
        <v>68</v>
      </c>
      <c r="B12" s="5" t="s">
        <v>734</v>
      </c>
      <c r="C12" s="67">
        <v>1065382</v>
      </c>
      <c r="D12" s="70" t="s">
        <v>25</v>
      </c>
      <c r="E12" s="5" t="s">
        <v>756</v>
      </c>
      <c r="F12" s="5" t="s">
        <v>1148</v>
      </c>
      <c r="G12" s="5" t="s">
        <v>755</v>
      </c>
      <c r="H12" s="17">
        <f t="shared" si="0"/>
        <v>7.5187969924812026E-3</v>
      </c>
      <c r="I12" s="5">
        <f t="shared" si="1"/>
        <v>1</v>
      </c>
      <c r="J12" s="4">
        <v>134</v>
      </c>
      <c r="K12" s="4">
        <v>133</v>
      </c>
      <c r="L12" s="4">
        <v>141</v>
      </c>
      <c r="M12" s="4">
        <v>160</v>
      </c>
      <c r="N12" s="4">
        <v>140</v>
      </c>
      <c r="O12" s="4">
        <v>143</v>
      </c>
      <c r="P12" s="4">
        <v>160</v>
      </c>
      <c r="Q12" s="4">
        <v>171</v>
      </c>
      <c r="R12" s="4">
        <v>165</v>
      </c>
      <c r="S12" s="71">
        <v>165</v>
      </c>
    </row>
    <row r="13" spans="1:19">
      <c r="A13" s="5" t="s">
        <v>68</v>
      </c>
      <c r="B13" s="5" t="s">
        <v>734</v>
      </c>
      <c r="C13" s="67">
        <v>1110527</v>
      </c>
      <c r="D13" s="70" t="s">
        <v>1172</v>
      </c>
      <c r="E13" s="5" t="s">
        <v>754</v>
      </c>
      <c r="F13" s="5" t="s">
        <v>1147</v>
      </c>
      <c r="G13" s="5" t="s">
        <v>753</v>
      </c>
      <c r="H13" s="149">
        <f t="shared" si="0"/>
        <v>-0.12727272727272726</v>
      </c>
      <c r="I13" s="150">
        <f t="shared" si="1"/>
        <v>-7</v>
      </c>
      <c r="J13" s="4">
        <v>48</v>
      </c>
      <c r="K13" s="4">
        <v>55</v>
      </c>
      <c r="L13" s="4">
        <v>50</v>
      </c>
      <c r="M13" s="4">
        <v>43</v>
      </c>
      <c r="N13" s="4">
        <v>48</v>
      </c>
      <c r="O13" s="4">
        <v>30</v>
      </c>
      <c r="P13" s="4">
        <v>30</v>
      </c>
      <c r="Q13" s="4">
        <v>30</v>
      </c>
      <c r="R13" s="4">
        <v>30</v>
      </c>
      <c r="S13" s="71">
        <v>25</v>
      </c>
    </row>
    <row r="14" spans="1:19">
      <c r="A14" s="5" t="s">
        <v>68</v>
      </c>
      <c r="B14" s="5" t="s">
        <v>734</v>
      </c>
      <c r="C14" s="67">
        <v>1839521</v>
      </c>
      <c r="D14" s="70" t="s">
        <v>139</v>
      </c>
      <c r="E14" s="5" t="s">
        <v>752</v>
      </c>
      <c r="F14" s="5" t="s">
        <v>1147</v>
      </c>
      <c r="G14" s="5" t="s">
        <v>751</v>
      </c>
      <c r="H14" s="174">
        <f t="shared" si="0"/>
        <v>0.125</v>
      </c>
      <c r="I14" s="173">
        <f t="shared" si="1"/>
        <v>5</v>
      </c>
      <c r="J14" s="4">
        <v>45</v>
      </c>
      <c r="K14" s="4">
        <v>40</v>
      </c>
      <c r="L14" s="4">
        <v>38</v>
      </c>
      <c r="M14" s="4">
        <v>40</v>
      </c>
      <c r="N14" s="4">
        <v>45</v>
      </c>
      <c r="O14" s="4">
        <v>52</v>
      </c>
      <c r="P14" s="4">
        <v>70</v>
      </c>
      <c r="Q14" s="4">
        <v>65</v>
      </c>
      <c r="R14" s="4">
        <v>56</v>
      </c>
      <c r="S14" s="71">
        <v>54</v>
      </c>
    </row>
    <row r="15" spans="1:19">
      <c r="A15" s="5" t="s">
        <v>68</v>
      </c>
      <c r="B15" s="5" t="s">
        <v>734</v>
      </c>
      <c r="C15" s="67">
        <v>1156785</v>
      </c>
      <c r="D15" s="70" t="s">
        <v>750</v>
      </c>
      <c r="E15" s="5" t="s">
        <v>749</v>
      </c>
      <c r="F15" s="5" t="s">
        <v>1148</v>
      </c>
      <c r="G15" s="5" t="s">
        <v>748</v>
      </c>
      <c r="H15" s="174">
        <f t="shared" si="0"/>
        <v>0.22222222222222221</v>
      </c>
      <c r="I15" s="173">
        <f t="shared" si="1"/>
        <v>30</v>
      </c>
      <c r="J15" s="4">
        <v>165</v>
      </c>
      <c r="K15" s="4">
        <v>135</v>
      </c>
      <c r="L15" s="4">
        <v>175</v>
      </c>
      <c r="M15" s="4">
        <v>155</v>
      </c>
      <c r="N15" s="4">
        <v>155</v>
      </c>
      <c r="O15" s="4">
        <v>86</v>
      </c>
      <c r="P15" s="4">
        <v>90</v>
      </c>
      <c r="Q15" s="4">
        <v>85</v>
      </c>
      <c r="R15" s="4">
        <v>65</v>
      </c>
      <c r="S15" s="50"/>
    </row>
    <row r="16" spans="1:19">
      <c r="A16" s="5" t="s">
        <v>68</v>
      </c>
      <c r="B16" s="5" t="s">
        <v>734</v>
      </c>
      <c r="C16" s="67">
        <v>1241272</v>
      </c>
      <c r="D16" s="70" t="s">
        <v>1173</v>
      </c>
      <c r="E16" s="5" t="s">
        <v>747</v>
      </c>
      <c r="F16" s="5" t="s">
        <v>1147</v>
      </c>
      <c r="G16" s="5" t="s">
        <v>746</v>
      </c>
      <c r="H16" s="149">
        <f t="shared" si="0"/>
        <v>-0.4</v>
      </c>
      <c r="I16" s="150">
        <f t="shared" si="1"/>
        <v>-10</v>
      </c>
      <c r="J16" s="4">
        <v>15</v>
      </c>
      <c r="K16" s="4">
        <v>25</v>
      </c>
      <c r="L16" s="4">
        <v>27</v>
      </c>
      <c r="M16" s="4">
        <v>25</v>
      </c>
      <c r="N16" s="4">
        <v>25</v>
      </c>
      <c r="O16" s="4">
        <v>0</v>
      </c>
      <c r="P16" s="49"/>
      <c r="Q16" s="49"/>
      <c r="R16" s="49"/>
      <c r="S16" s="50"/>
    </row>
    <row r="17" spans="1:19">
      <c r="A17" s="5" t="s">
        <v>68</v>
      </c>
      <c r="B17" s="5" t="s">
        <v>734</v>
      </c>
      <c r="C17" s="67">
        <v>1401652</v>
      </c>
      <c r="D17" s="70" t="s">
        <v>745</v>
      </c>
      <c r="E17" s="5" t="s">
        <v>744</v>
      </c>
      <c r="F17" s="5" t="s">
        <v>1147</v>
      </c>
      <c r="G17" s="5" t="s">
        <v>743</v>
      </c>
      <c r="H17" s="58">
        <f t="shared" si="0"/>
        <v>0</v>
      </c>
      <c r="I17" s="59">
        <f t="shared" si="1"/>
        <v>0</v>
      </c>
      <c r="J17" s="4">
        <v>85</v>
      </c>
      <c r="K17" s="4">
        <v>85</v>
      </c>
      <c r="L17" s="4">
        <v>90</v>
      </c>
      <c r="M17" s="4">
        <v>56</v>
      </c>
      <c r="N17" s="4">
        <v>60</v>
      </c>
      <c r="O17" s="49"/>
      <c r="P17" s="49"/>
      <c r="Q17" s="49"/>
      <c r="R17" s="49"/>
      <c r="S17" s="50"/>
    </row>
    <row r="18" spans="1:19">
      <c r="A18" s="5" t="s">
        <v>68</v>
      </c>
      <c r="B18" s="5" t="s">
        <v>734</v>
      </c>
      <c r="C18" s="67">
        <v>1628791</v>
      </c>
      <c r="D18" s="70" t="s">
        <v>62</v>
      </c>
      <c r="E18" s="5" t="s">
        <v>469</v>
      </c>
      <c r="F18" s="5" t="s">
        <v>1147</v>
      </c>
      <c r="G18" s="5" t="s">
        <v>742</v>
      </c>
      <c r="H18" s="17">
        <f t="shared" si="0"/>
        <v>5.2631578947368418E-2</v>
      </c>
      <c r="I18" s="5">
        <f t="shared" si="1"/>
        <v>2</v>
      </c>
      <c r="J18" s="4">
        <v>40</v>
      </c>
      <c r="K18" s="4">
        <v>38</v>
      </c>
      <c r="L18" s="4">
        <v>32</v>
      </c>
      <c r="M18" s="4">
        <v>40</v>
      </c>
      <c r="N18" s="4">
        <v>41</v>
      </c>
      <c r="O18" s="4">
        <v>42</v>
      </c>
      <c r="P18" s="4">
        <v>44</v>
      </c>
      <c r="Q18" s="4">
        <v>41</v>
      </c>
      <c r="R18" s="4">
        <v>50</v>
      </c>
      <c r="S18" s="71">
        <v>57</v>
      </c>
    </row>
    <row r="19" spans="1:19">
      <c r="A19" s="5" t="s">
        <v>68</v>
      </c>
      <c r="B19" s="5" t="s">
        <v>734</v>
      </c>
      <c r="C19" s="67">
        <v>1633593</v>
      </c>
      <c r="D19" s="70" t="s">
        <v>741</v>
      </c>
      <c r="E19" s="5" t="s">
        <v>469</v>
      </c>
      <c r="F19" s="5" t="s">
        <v>1147</v>
      </c>
      <c r="G19" s="5" t="s">
        <v>740</v>
      </c>
      <c r="H19" s="149">
        <f t="shared" si="0"/>
        <v>-8.3333333333333329E-2</v>
      </c>
      <c r="I19" s="150">
        <f t="shared" si="1"/>
        <v>-2</v>
      </c>
      <c r="J19" s="4">
        <v>22</v>
      </c>
      <c r="K19" s="4">
        <v>24</v>
      </c>
      <c r="L19" s="4">
        <v>20</v>
      </c>
      <c r="M19" s="4">
        <v>15</v>
      </c>
      <c r="N19" s="49"/>
      <c r="O19" s="49"/>
      <c r="P19" s="49"/>
      <c r="Q19" s="49"/>
      <c r="R19" s="49"/>
      <c r="S19" s="50"/>
    </row>
    <row r="20" spans="1:19">
      <c r="A20" s="5" t="s">
        <v>68</v>
      </c>
      <c r="B20" s="5" t="s">
        <v>734</v>
      </c>
      <c r="C20" s="67">
        <v>1747088</v>
      </c>
      <c r="D20" s="70" t="s">
        <v>739</v>
      </c>
      <c r="E20" s="5" t="s">
        <v>738</v>
      </c>
      <c r="F20" s="5" t="s">
        <v>1147</v>
      </c>
      <c r="G20" s="5" t="s">
        <v>737</v>
      </c>
      <c r="H20" s="147">
        <f t="shared" si="0"/>
        <v>4.4545454545454541</v>
      </c>
      <c r="I20" s="173">
        <f t="shared" si="1"/>
        <v>98</v>
      </c>
      <c r="J20" s="4">
        <v>120</v>
      </c>
      <c r="K20" s="4">
        <v>22</v>
      </c>
      <c r="L20" s="49"/>
      <c r="M20" s="49"/>
      <c r="N20" s="49"/>
      <c r="O20" s="49"/>
      <c r="P20" s="49"/>
      <c r="Q20" s="49"/>
      <c r="R20" s="49"/>
      <c r="S20" s="50"/>
    </row>
    <row r="21" spans="1:19">
      <c r="A21" s="5" t="s">
        <v>68</v>
      </c>
      <c r="B21" s="5" t="s">
        <v>734</v>
      </c>
      <c r="C21" s="67">
        <v>1826783</v>
      </c>
      <c r="D21" s="70" t="s">
        <v>25</v>
      </c>
      <c r="E21" s="5" t="s">
        <v>736</v>
      </c>
      <c r="F21" s="5" t="s">
        <v>1148</v>
      </c>
      <c r="G21" s="5" t="s">
        <v>735</v>
      </c>
      <c r="H21" s="174">
        <f t="shared" si="0"/>
        <v>0.1</v>
      </c>
      <c r="I21" s="173">
        <f t="shared" si="1"/>
        <v>15</v>
      </c>
      <c r="J21" s="4">
        <v>165</v>
      </c>
      <c r="K21" s="4">
        <v>150</v>
      </c>
      <c r="L21" s="4">
        <v>300</v>
      </c>
      <c r="M21" s="4">
        <v>260</v>
      </c>
      <c r="N21" s="4">
        <v>270</v>
      </c>
      <c r="O21" s="4">
        <v>270</v>
      </c>
      <c r="P21" s="4">
        <v>270</v>
      </c>
      <c r="Q21" s="4">
        <v>270</v>
      </c>
      <c r="R21" s="4">
        <v>280</v>
      </c>
      <c r="S21" s="71">
        <v>321</v>
      </c>
    </row>
    <row r="22" spans="1:19">
      <c r="A22" s="5" t="s">
        <v>68</v>
      </c>
      <c r="B22" s="5" t="s">
        <v>734</v>
      </c>
      <c r="C22" s="67">
        <v>1089747</v>
      </c>
      <c r="D22" s="70" t="s">
        <v>733</v>
      </c>
      <c r="E22" s="5" t="s">
        <v>469</v>
      </c>
      <c r="F22" s="5" t="s">
        <v>1148</v>
      </c>
      <c r="G22" s="5" t="s">
        <v>732</v>
      </c>
      <c r="H22" s="58">
        <f t="shared" si="0"/>
        <v>0</v>
      </c>
      <c r="I22" s="59">
        <f t="shared" si="1"/>
        <v>0</v>
      </c>
      <c r="J22" s="54">
        <v>40</v>
      </c>
      <c r="K22" s="54">
        <v>40</v>
      </c>
      <c r="L22" s="54">
        <v>40</v>
      </c>
      <c r="M22" s="54">
        <v>50</v>
      </c>
      <c r="N22" s="54">
        <v>45</v>
      </c>
      <c r="O22" s="54">
        <v>40</v>
      </c>
      <c r="P22" s="54">
        <v>40</v>
      </c>
      <c r="Q22" s="54">
        <v>45</v>
      </c>
      <c r="R22" s="54">
        <v>40</v>
      </c>
      <c r="S22" s="145">
        <v>50</v>
      </c>
    </row>
    <row r="23" spans="1:19" ht="15" thickBot="1">
      <c r="D23" s="72" t="str">
        <f>"Church Count: "&amp;COUNTA(D5:D22)</f>
        <v>Church Count: 18</v>
      </c>
      <c r="E23" s="49"/>
      <c r="F23" s="49"/>
      <c r="G23" s="151" t="s">
        <v>1207</v>
      </c>
      <c r="H23" s="49"/>
      <c r="I23" s="49"/>
      <c r="J23" s="197">
        <f t="shared" ref="J23:S23" si="2">SUM(J5:J22)</f>
        <v>1450</v>
      </c>
      <c r="K23" s="197">
        <f t="shared" si="2"/>
        <v>1305</v>
      </c>
      <c r="L23" s="197">
        <f t="shared" si="2"/>
        <v>1567</v>
      </c>
      <c r="M23" s="197">
        <f t="shared" si="2"/>
        <v>1573</v>
      </c>
      <c r="N23" s="197">
        <f t="shared" si="2"/>
        <v>1358</v>
      </c>
      <c r="O23" s="197">
        <f t="shared" si="2"/>
        <v>1208</v>
      </c>
      <c r="P23" s="197">
        <f t="shared" si="2"/>
        <v>1226</v>
      </c>
      <c r="Q23" s="197">
        <f t="shared" si="2"/>
        <v>1325</v>
      </c>
      <c r="R23" s="197">
        <f t="shared" si="2"/>
        <v>1359</v>
      </c>
      <c r="S23" s="198">
        <f t="shared" si="2"/>
        <v>1409</v>
      </c>
    </row>
    <row r="24" spans="1:19" ht="15" thickTop="1">
      <c r="D24" s="152" t="s">
        <v>1180</v>
      </c>
      <c r="E24" s="49"/>
      <c r="F24" s="49"/>
      <c r="G24" s="151" t="s">
        <v>1208</v>
      </c>
      <c r="H24" s="49"/>
      <c r="I24" s="49"/>
      <c r="J24" s="49">
        <f>J23-K23</f>
        <v>145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D25" s="153" t="s">
        <v>1181</v>
      </c>
      <c r="E25" s="146"/>
      <c r="F25" s="146"/>
      <c r="G25" s="151" t="s">
        <v>1209</v>
      </c>
      <c r="H25" s="49"/>
      <c r="I25" s="49"/>
      <c r="J25" s="169">
        <f>(J23-K23)/ABS(K23)</f>
        <v>0.1111111111111111</v>
      </c>
      <c r="K25" s="49"/>
      <c r="L25" s="49"/>
      <c r="M25" s="49"/>
      <c r="N25" s="49"/>
      <c r="O25" s="49"/>
      <c r="P25" s="49"/>
      <c r="Q25" s="49"/>
      <c r="R25" s="49"/>
      <c r="S25" s="50"/>
    </row>
    <row r="26" spans="1:19">
      <c r="D26" s="170" t="s">
        <v>1210</v>
      </c>
      <c r="E26" s="49"/>
      <c r="F26" s="49"/>
      <c r="G26" s="218" t="s">
        <v>1219</v>
      </c>
      <c r="H26" s="49"/>
      <c r="I26" s="49"/>
      <c r="J26" s="222">
        <f>J23-S23</f>
        <v>41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54" t="s">
        <v>1182</v>
      </c>
      <c r="E27" s="51"/>
      <c r="F27" s="51"/>
      <c r="G27" s="18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2"/>
    </row>
  </sheetData>
  <mergeCells count="1">
    <mergeCell ref="D1:S1"/>
  </mergeCells>
  <printOptions horizontalCentered="1"/>
  <pageMargins left="0.7" right="0.7" top="0.75" bottom="0.75" header="0.3" footer="0.3"/>
  <pageSetup scale="72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 enableFormatConditionsCalculation="0">
    <pageSetUpPr fitToPage="1"/>
  </sheetPr>
  <dimension ref="A1:S29"/>
  <sheetViews>
    <sheetView topLeftCell="D1" workbookViewId="0">
      <selection activeCell="J28" sqref="J28"/>
    </sheetView>
  </sheetViews>
  <sheetFormatPr baseColWidth="10" defaultColWidth="8.83203125" defaultRowHeight="14" x14ac:dyDescent="0"/>
  <cols>
    <col min="1" max="1" width="7.5" style="3" hidden="1" customWidth="1"/>
    <col min="2" max="2" width="11.83203125" style="3" hidden="1" customWidth="1"/>
    <col min="3" max="3" width="8.1640625" style="3" hidden="1" customWidth="1"/>
    <col min="4" max="4" width="43.6640625" style="3" bestFit="1" customWidth="1"/>
    <col min="5" max="5" width="11.5" style="3" bestFit="1" customWidth="1"/>
    <col min="6" max="6" width="10" style="3" bestFit="1" customWidth="1"/>
    <col min="7" max="7" width="24" style="3" bestFit="1" customWidth="1"/>
    <col min="8" max="8" width="7.83203125" style="3" bestFit="1" customWidth="1"/>
    <col min="9" max="9" width="7.5" style="3" bestFit="1" customWidth="1"/>
    <col min="10" max="12" width="8" style="3" bestFit="1" customWidth="1"/>
    <col min="13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South Dallas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356</v>
      </c>
      <c r="B5" s="5" t="s">
        <v>775</v>
      </c>
      <c r="C5" s="67">
        <v>1143411</v>
      </c>
      <c r="D5" s="70" t="s">
        <v>816</v>
      </c>
      <c r="E5" s="5" t="s">
        <v>784</v>
      </c>
      <c r="F5" s="5" t="s">
        <v>1148</v>
      </c>
      <c r="G5" s="5" t="s">
        <v>815</v>
      </c>
      <c r="H5" s="58">
        <f>(J5-K5)/ABS(K5)</f>
        <v>0</v>
      </c>
      <c r="I5" s="59">
        <f>J5-K5</f>
        <v>0</v>
      </c>
      <c r="J5" s="4">
        <v>60</v>
      </c>
      <c r="K5" s="4">
        <v>60</v>
      </c>
      <c r="L5" s="4">
        <v>80</v>
      </c>
      <c r="M5" s="4">
        <v>170</v>
      </c>
      <c r="N5" s="4">
        <v>250</v>
      </c>
      <c r="O5" s="4">
        <v>180</v>
      </c>
      <c r="P5" s="4">
        <v>100</v>
      </c>
      <c r="Q5" s="4">
        <v>100</v>
      </c>
      <c r="R5" s="4">
        <v>100</v>
      </c>
      <c r="S5" s="71">
        <v>90</v>
      </c>
    </row>
    <row r="6" spans="1:19">
      <c r="A6" s="5" t="s">
        <v>356</v>
      </c>
      <c r="B6" s="5" t="s">
        <v>775</v>
      </c>
      <c r="C6" s="67">
        <v>1057744</v>
      </c>
      <c r="D6" s="70" t="s">
        <v>814</v>
      </c>
      <c r="E6" s="5" t="s">
        <v>364</v>
      </c>
      <c r="F6" s="5" t="s">
        <v>1148</v>
      </c>
      <c r="G6" s="5" t="s">
        <v>813</v>
      </c>
      <c r="H6" s="149">
        <f t="shared" ref="H6:H24" si="0">(J6-K6)/ABS(K6)</f>
        <v>-6.25E-2</v>
      </c>
      <c r="I6" s="150">
        <f t="shared" ref="I6:I24" si="1">J6-K6</f>
        <v>-5</v>
      </c>
      <c r="J6" s="4">
        <v>75</v>
      </c>
      <c r="K6" s="4">
        <v>80</v>
      </c>
      <c r="L6" s="4">
        <v>80</v>
      </c>
      <c r="M6" s="4">
        <v>80</v>
      </c>
      <c r="N6" s="4">
        <v>100</v>
      </c>
      <c r="O6" s="4">
        <v>75</v>
      </c>
      <c r="P6" s="4">
        <v>80</v>
      </c>
      <c r="Q6" s="4">
        <v>60</v>
      </c>
      <c r="R6" s="4">
        <v>60</v>
      </c>
      <c r="S6" s="71">
        <v>50</v>
      </c>
    </row>
    <row r="7" spans="1:19">
      <c r="A7" s="5" t="s">
        <v>356</v>
      </c>
      <c r="B7" s="5" t="s">
        <v>775</v>
      </c>
      <c r="C7" s="67">
        <v>1057751</v>
      </c>
      <c r="D7" s="70" t="s">
        <v>812</v>
      </c>
      <c r="E7" s="5" t="s">
        <v>364</v>
      </c>
      <c r="F7" s="5" t="s">
        <v>1148</v>
      </c>
      <c r="G7" s="5" t="s">
        <v>811</v>
      </c>
      <c r="H7" s="149">
        <f t="shared" si="0"/>
        <v>-0.2</v>
      </c>
      <c r="I7" s="150">
        <f t="shared" si="1"/>
        <v>-30</v>
      </c>
      <c r="J7" s="4">
        <v>120</v>
      </c>
      <c r="K7" s="4">
        <v>150</v>
      </c>
      <c r="L7" s="4">
        <v>100</v>
      </c>
      <c r="M7" s="4">
        <v>150</v>
      </c>
      <c r="N7" s="4">
        <v>125</v>
      </c>
      <c r="O7" s="4">
        <v>150</v>
      </c>
      <c r="P7" s="4">
        <v>175</v>
      </c>
      <c r="Q7" s="4">
        <v>250</v>
      </c>
      <c r="R7" s="4">
        <v>200</v>
      </c>
      <c r="S7" s="71">
        <v>200</v>
      </c>
    </row>
    <row r="8" spans="1:19">
      <c r="A8" s="5" t="s">
        <v>356</v>
      </c>
      <c r="B8" s="5" t="s">
        <v>775</v>
      </c>
      <c r="C8" s="67">
        <v>1057769</v>
      </c>
      <c r="D8" s="70" t="s">
        <v>810</v>
      </c>
      <c r="E8" s="5" t="s">
        <v>364</v>
      </c>
      <c r="F8" s="5" t="s">
        <v>1148</v>
      </c>
      <c r="G8" s="5" t="s">
        <v>809</v>
      </c>
      <c r="H8" s="174">
        <f t="shared" si="0"/>
        <v>0.1</v>
      </c>
      <c r="I8" s="173">
        <f t="shared" si="1"/>
        <v>2</v>
      </c>
      <c r="J8" s="4">
        <v>22</v>
      </c>
      <c r="K8" s="4">
        <v>20</v>
      </c>
      <c r="L8" s="4">
        <v>25</v>
      </c>
      <c r="M8" s="4">
        <v>20</v>
      </c>
      <c r="N8" s="4">
        <v>25</v>
      </c>
      <c r="O8" s="4">
        <v>30</v>
      </c>
      <c r="P8" s="4">
        <v>45</v>
      </c>
      <c r="Q8" s="4">
        <v>30</v>
      </c>
      <c r="R8" s="4">
        <v>35</v>
      </c>
      <c r="S8" s="71">
        <v>50</v>
      </c>
    </row>
    <row r="9" spans="1:19">
      <c r="A9" s="5" t="s">
        <v>356</v>
      </c>
      <c r="B9" s="5" t="s">
        <v>775</v>
      </c>
      <c r="C9" s="67">
        <v>1057785</v>
      </c>
      <c r="D9" s="70" t="s">
        <v>62</v>
      </c>
      <c r="E9" s="5" t="s">
        <v>795</v>
      </c>
      <c r="F9" s="5" t="s">
        <v>1147</v>
      </c>
      <c r="G9" s="5" t="s">
        <v>808</v>
      </c>
      <c r="H9" s="58">
        <f t="shared" si="0"/>
        <v>0</v>
      </c>
      <c r="I9" s="59">
        <f t="shared" si="1"/>
        <v>0</v>
      </c>
      <c r="J9" s="4">
        <v>25</v>
      </c>
      <c r="K9" s="4">
        <v>25</v>
      </c>
      <c r="L9" s="4">
        <v>25</v>
      </c>
      <c r="M9" s="4">
        <v>32</v>
      </c>
      <c r="N9" s="4">
        <v>26</v>
      </c>
      <c r="O9" s="4">
        <v>29</v>
      </c>
      <c r="P9" s="4">
        <v>22</v>
      </c>
      <c r="Q9" s="4">
        <v>23</v>
      </c>
      <c r="R9" s="4">
        <v>35</v>
      </c>
      <c r="S9" s="71">
        <v>35</v>
      </c>
    </row>
    <row r="10" spans="1:19">
      <c r="A10" s="5" t="s">
        <v>356</v>
      </c>
      <c r="B10" s="5" t="s">
        <v>775</v>
      </c>
      <c r="C10" s="67">
        <v>1057876</v>
      </c>
      <c r="D10" s="70" t="s">
        <v>807</v>
      </c>
      <c r="E10" s="5" t="s">
        <v>806</v>
      </c>
      <c r="F10" s="5" t="s">
        <v>1148</v>
      </c>
      <c r="G10" s="5" t="s">
        <v>805</v>
      </c>
      <c r="H10" s="17">
        <f t="shared" si="0"/>
        <v>2.1196063588190765E-2</v>
      </c>
      <c r="I10" s="5">
        <f t="shared" si="1"/>
        <v>56</v>
      </c>
      <c r="J10" s="4">
        <v>2698</v>
      </c>
      <c r="K10" s="4">
        <v>2642</v>
      </c>
      <c r="L10" s="4">
        <v>2431</v>
      </c>
      <c r="M10" s="4">
        <v>2632</v>
      </c>
      <c r="N10" s="4">
        <v>2735</v>
      </c>
      <c r="O10" s="4">
        <v>2735</v>
      </c>
      <c r="P10" s="4">
        <v>2377</v>
      </c>
      <c r="Q10" s="4">
        <v>2295</v>
      </c>
      <c r="R10" s="4">
        <v>2287</v>
      </c>
      <c r="S10" s="71">
        <v>1810</v>
      </c>
    </row>
    <row r="11" spans="1:19">
      <c r="A11" s="5" t="s">
        <v>356</v>
      </c>
      <c r="B11" s="5" t="s">
        <v>775</v>
      </c>
      <c r="C11" s="67">
        <v>1057892</v>
      </c>
      <c r="D11" s="70" t="s">
        <v>670</v>
      </c>
      <c r="E11" s="5" t="s">
        <v>364</v>
      </c>
      <c r="F11" s="5" t="s">
        <v>1148</v>
      </c>
      <c r="G11" s="5" t="s">
        <v>804</v>
      </c>
      <c r="H11" s="188">
        <f t="shared" si="0"/>
        <v>0</v>
      </c>
      <c r="I11" s="189">
        <f t="shared" si="1"/>
        <v>0</v>
      </c>
      <c r="J11" s="4">
        <v>45</v>
      </c>
      <c r="K11" s="4">
        <v>45</v>
      </c>
      <c r="L11" s="4">
        <v>45</v>
      </c>
      <c r="M11" s="4">
        <v>45</v>
      </c>
      <c r="N11" s="4">
        <v>40</v>
      </c>
      <c r="O11" s="4">
        <v>40</v>
      </c>
      <c r="P11" s="4">
        <v>37</v>
      </c>
      <c r="Q11" s="4">
        <v>40</v>
      </c>
      <c r="R11" s="4">
        <v>45</v>
      </c>
      <c r="S11" s="71">
        <v>46</v>
      </c>
    </row>
    <row r="12" spans="1:19">
      <c r="A12" s="5" t="s">
        <v>356</v>
      </c>
      <c r="B12" s="5" t="s">
        <v>775</v>
      </c>
      <c r="C12" s="67">
        <v>1058122</v>
      </c>
      <c r="D12" s="70" t="s">
        <v>803</v>
      </c>
      <c r="E12" s="5" t="s">
        <v>364</v>
      </c>
      <c r="F12" s="5" t="s">
        <v>1148</v>
      </c>
      <c r="G12" s="5" t="s">
        <v>802</v>
      </c>
      <c r="H12" s="149">
        <f t="shared" si="0"/>
        <v>-0.11504424778761062</v>
      </c>
      <c r="I12" s="150">
        <f t="shared" si="1"/>
        <v>-13</v>
      </c>
      <c r="J12" s="4">
        <v>100</v>
      </c>
      <c r="K12" s="4">
        <v>113</v>
      </c>
      <c r="L12" s="4">
        <v>113</v>
      </c>
      <c r="M12" s="4">
        <v>125</v>
      </c>
      <c r="N12" s="4">
        <v>138</v>
      </c>
      <c r="O12" s="4">
        <v>125</v>
      </c>
      <c r="P12" s="4">
        <v>140</v>
      </c>
      <c r="Q12" s="4">
        <v>210</v>
      </c>
      <c r="R12" s="4">
        <v>210</v>
      </c>
      <c r="S12" s="71">
        <v>200</v>
      </c>
    </row>
    <row r="13" spans="1:19">
      <c r="A13" s="5" t="s">
        <v>356</v>
      </c>
      <c r="B13" s="5" t="s">
        <v>775</v>
      </c>
      <c r="C13" s="67">
        <v>1058189</v>
      </c>
      <c r="D13" s="70" t="s">
        <v>801</v>
      </c>
      <c r="E13" s="5" t="s">
        <v>795</v>
      </c>
      <c r="F13" s="5" t="s">
        <v>1148</v>
      </c>
      <c r="G13" s="5" t="s">
        <v>800</v>
      </c>
      <c r="H13" s="17">
        <f t="shared" si="0"/>
        <v>5.6818181818181816E-2</v>
      </c>
      <c r="I13" s="5">
        <f t="shared" si="1"/>
        <v>25</v>
      </c>
      <c r="J13" s="4">
        <v>465</v>
      </c>
      <c r="K13" s="4">
        <v>440</v>
      </c>
      <c r="L13" s="4">
        <v>411</v>
      </c>
      <c r="M13" s="4">
        <v>450</v>
      </c>
      <c r="N13" s="4">
        <v>432</v>
      </c>
      <c r="O13" s="4">
        <v>525</v>
      </c>
      <c r="P13" s="4">
        <v>750</v>
      </c>
      <c r="Q13" s="4">
        <v>875</v>
      </c>
      <c r="R13" s="4">
        <v>850</v>
      </c>
      <c r="S13" s="71">
        <v>850</v>
      </c>
    </row>
    <row r="14" spans="1:19">
      <c r="A14" s="5" t="s">
        <v>356</v>
      </c>
      <c r="B14" s="5" t="s">
        <v>775</v>
      </c>
      <c r="C14" s="67">
        <v>1110360</v>
      </c>
      <c r="D14" s="70" t="s">
        <v>799</v>
      </c>
      <c r="E14" s="5" t="s">
        <v>798</v>
      </c>
      <c r="F14" s="5" t="s">
        <v>1148</v>
      </c>
      <c r="G14" s="5" t="s">
        <v>797</v>
      </c>
      <c r="H14" s="17">
        <f t="shared" si="0"/>
        <v>5.7486338797814208E-2</v>
      </c>
      <c r="I14" s="5">
        <f t="shared" si="1"/>
        <v>263</v>
      </c>
      <c r="J14" s="148">
        <v>4838</v>
      </c>
      <c r="K14" s="4">
        <v>4575</v>
      </c>
      <c r="L14" s="4">
        <v>4016</v>
      </c>
      <c r="M14" s="4">
        <v>3479</v>
      </c>
      <c r="N14" s="4">
        <v>2948</v>
      </c>
      <c r="O14" s="4">
        <v>2509</v>
      </c>
      <c r="P14" s="4">
        <v>1902</v>
      </c>
      <c r="Q14" s="4">
        <v>1644</v>
      </c>
      <c r="R14" s="4">
        <v>1607</v>
      </c>
      <c r="S14" s="71">
        <v>1556</v>
      </c>
    </row>
    <row r="15" spans="1:19">
      <c r="A15" s="5" t="s">
        <v>356</v>
      </c>
      <c r="B15" s="5" t="s">
        <v>775</v>
      </c>
      <c r="C15" s="67">
        <v>1057355</v>
      </c>
      <c r="D15" s="70" t="s">
        <v>796</v>
      </c>
      <c r="E15" s="5" t="s">
        <v>795</v>
      </c>
      <c r="F15" s="5" t="s">
        <v>1148</v>
      </c>
      <c r="G15" s="5" t="s">
        <v>794</v>
      </c>
      <c r="H15" s="149">
        <f t="shared" si="0"/>
        <v>-6.25E-2</v>
      </c>
      <c r="I15" s="150">
        <f t="shared" si="1"/>
        <v>-5</v>
      </c>
      <c r="J15" s="4">
        <v>75</v>
      </c>
      <c r="K15" s="4">
        <v>80</v>
      </c>
      <c r="L15" s="4">
        <v>60</v>
      </c>
      <c r="M15" s="4">
        <v>48</v>
      </c>
      <c r="N15" s="4">
        <v>67</v>
      </c>
      <c r="O15" s="4">
        <v>54</v>
      </c>
      <c r="P15" s="4">
        <v>82</v>
      </c>
      <c r="Q15" s="4">
        <v>71</v>
      </c>
      <c r="R15" s="4">
        <v>88</v>
      </c>
      <c r="S15" s="71">
        <v>111</v>
      </c>
    </row>
    <row r="16" spans="1:19">
      <c r="A16" s="5" t="s">
        <v>356</v>
      </c>
      <c r="B16" s="5" t="s">
        <v>775</v>
      </c>
      <c r="C16" s="67">
        <v>1159995</v>
      </c>
      <c r="D16" s="70" t="s">
        <v>793</v>
      </c>
      <c r="E16" s="5" t="s">
        <v>773</v>
      </c>
      <c r="F16" s="5" t="s">
        <v>1147</v>
      </c>
      <c r="G16" s="5" t="s">
        <v>792</v>
      </c>
      <c r="H16" s="174">
        <f t="shared" si="0"/>
        <v>0.16666666666666666</v>
      </c>
      <c r="I16" s="173">
        <f t="shared" si="1"/>
        <v>4</v>
      </c>
      <c r="J16" s="4">
        <v>28</v>
      </c>
      <c r="K16" s="4">
        <v>24</v>
      </c>
      <c r="L16" s="4">
        <v>37</v>
      </c>
      <c r="M16" s="4">
        <v>35</v>
      </c>
      <c r="N16" s="4">
        <v>32</v>
      </c>
      <c r="O16" s="4">
        <v>10</v>
      </c>
      <c r="P16" s="4">
        <v>10</v>
      </c>
      <c r="Q16" s="4">
        <v>10</v>
      </c>
      <c r="R16" s="4">
        <v>10</v>
      </c>
      <c r="S16" s="50"/>
    </row>
    <row r="17" spans="1:19">
      <c r="A17" s="5" t="s">
        <v>356</v>
      </c>
      <c r="B17" s="5" t="s">
        <v>775</v>
      </c>
      <c r="C17" s="67">
        <v>1219708</v>
      </c>
      <c r="D17" s="70" t="s">
        <v>791</v>
      </c>
      <c r="E17" s="5" t="s">
        <v>364</v>
      </c>
      <c r="F17" s="5" t="s">
        <v>1147</v>
      </c>
      <c r="G17" s="5" t="s">
        <v>790</v>
      </c>
      <c r="H17" s="149">
        <f t="shared" si="0"/>
        <v>-4.5454545454545456E-2</v>
      </c>
      <c r="I17" s="150">
        <f t="shared" si="1"/>
        <v>-3</v>
      </c>
      <c r="J17" s="4">
        <v>63</v>
      </c>
      <c r="K17" s="4">
        <v>66</v>
      </c>
      <c r="L17" s="4">
        <v>73</v>
      </c>
      <c r="M17" s="4">
        <v>90</v>
      </c>
      <c r="N17" s="4">
        <v>106</v>
      </c>
      <c r="O17" s="4">
        <v>131</v>
      </c>
      <c r="P17" s="4">
        <v>150</v>
      </c>
      <c r="Q17" s="49"/>
      <c r="R17" s="49"/>
      <c r="S17" s="50"/>
    </row>
    <row r="18" spans="1:19">
      <c r="A18" s="5" t="s">
        <v>356</v>
      </c>
      <c r="B18" s="5" t="s">
        <v>775</v>
      </c>
      <c r="C18" s="67">
        <v>1320431</v>
      </c>
      <c r="D18" s="70" t="s">
        <v>789</v>
      </c>
      <c r="E18" s="5" t="s">
        <v>364</v>
      </c>
      <c r="F18" s="5" t="s">
        <v>1147</v>
      </c>
      <c r="G18" s="5" t="s">
        <v>788</v>
      </c>
      <c r="H18" s="58">
        <f t="shared" si="0"/>
        <v>0</v>
      </c>
      <c r="I18" s="59">
        <f t="shared" si="1"/>
        <v>0</v>
      </c>
      <c r="J18" s="4">
        <v>55</v>
      </c>
      <c r="K18" s="4">
        <v>55</v>
      </c>
      <c r="L18" s="4">
        <v>125</v>
      </c>
      <c r="M18" s="49"/>
      <c r="N18" s="49"/>
      <c r="O18" s="49"/>
      <c r="P18" s="49"/>
      <c r="Q18" s="49"/>
      <c r="R18" s="49"/>
      <c r="S18" s="50"/>
    </row>
    <row r="19" spans="1:19">
      <c r="A19" s="5" t="s">
        <v>356</v>
      </c>
      <c r="B19" s="5" t="s">
        <v>775</v>
      </c>
      <c r="C19" s="67">
        <v>1366871</v>
      </c>
      <c r="D19" s="70" t="s">
        <v>787</v>
      </c>
      <c r="E19" s="5" t="s">
        <v>364</v>
      </c>
      <c r="F19" s="5" t="s">
        <v>1148</v>
      </c>
      <c r="G19" s="5" t="s">
        <v>786</v>
      </c>
      <c r="H19" s="147">
        <f t="shared" si="0"/>
        <v>0.30769230769230771</v>
      </c>
      <c r="I19" s="173">
        <f t="shared" si="1"/>
        <v>40</v>
      </c>
      <c r="J19" s="4">
        <v>170</v>
      </c>
      <c r="K19" s="4">
        <v>130</v>
      </c>
      <c r="L19" s="4">
        <v>182</v>
      </c>
      <c r="M19" s="4">
        <v>160</v>
      </c>
      <c r="N19" s="4">
        <v>120</v>
      </c>
      <c r="O19" s="49"/>
      <c r="P19" s="49"/>
      <c r="Q19" s="49"/>
      <c r="R19" s="49"/>
      <c r="S19" s="50"/>
    </row>
    <row r="20" spans="1:19">
      <c r="A20" s="5" t="s">
        <v>356</v>
      </c>
      <c r="B20" s="5" t="s">
        <v>775</v>
      </c>
      <c r="C20" s="67">
        <v>1479682</v>
      </c>
      <c r="D20" s="70" t="s">
        <v>785</v>
      </c>
      <c r="E20" s="5" t="s">
        <v>784</v>
      </c>
      <c r="F20" s="5" t="s">
        <v>1147</v>
      </c>
      <c r="G20" s="5" t="s">
        <v>783</v>
      </c>
      <c r="H20" s="149">
        <f t="shared" si="0"/>
        <v>-7.4999999999999997E-2</v>
      </c>
      <c r="I20" s="150">
        <f t="shared" si="1"/>
        <v>-3</v>
      </c>
      <c r="J20" s="4">
        <v>37</v>
      </c>
      <c r="K20" s="4">
        <v>40</v>
      </c>
      <c r="L20" s="4">
        <v>60</v>
      </c>
      <c r="M20" s="4">
        <v>64</v>
      </c>
      <c r="N20" s="49"/>
      <c r="O20" s="49"/>
      <c r="P20" s="49"/>
      <c r="Q20" s="49"/>
      <c r="R20" s="49"/>
      <c r="S20" s="50"/>
    </row>
    <row r="21" spans="1:19">
      <c r="A21" s="5" t="s">
        <v>356</v>
      </c>
      <c r="B21" s="5" t="s">
        <v>775</v>
      </c>
      <c r="C21" s="67">
        <v>1629609</v>
      </c>
      <c r="D21" s="70" t="s">
        <v>782</v>
      </c>
      <c r="E21" s="5" t="s">
        <v>364</v>
      </c>
      <c r="F21" s="5" t="s">
        <v>1148</v>
      </c>
      <c r="G21" s="5" t="s">
        <v>781</v>
      </c>
      <c r="H21" s="17">
        <f t="shared" si="0"/>
        <v>3.3333333333333333E-2</v>
      </c>
      <c r="I21" s="5">
        <f t="shared" si="1"/>
        <v>3</v>
      </c>
      <c r="J21" s="4">
        <v>93</v>
      </c>
      <c r="K21" s="4">
        <v>90</v>
      </c>
      <c r="L21" s="4">
        <v>90</v>
      </c>
      <c r="M21" s="4">
        <v>85</v>
      </c>
      <c r="N21" s="4">
        <v>75</v>
      </c>
      <c r="O21" s="4">
        <v>75</v>
      </c>
      <c r="P21" s="4">
        <v>60</v>
      </c>
      <c r="Q21" s="4">
        <v>60</v>
      </c>
      <c r="R21" s="4">
        <v>66</v>
      </c>
      <c r="S21" s="71">
        <v>71</v>
      </c>
    </row>
    <row r="22" spans="1:19">
      <c r="A22" s="5" t="s">
        <v>356</v>
      </c>
      <c r="B22" s="5" t="s">
        <v>775</v>
      </c>
      <c r="C22" s="67">
        <v>1747492</v>
      </c>
      <c r="D22" s="70" t="s">
        <v>780</v>
      </c>
      <c r="E22" s="5" t="s">
        <v>773</v>
      </c>
      <c r="F22" s="5" t="s">
        <v>1149</v>
      </c>
      <c r="G22" s="5" t="s">
        <v>779</v>
      </c>
      <c r="H22" s="17" t="s">
        <v>1154</v>
      </c>
      <c r="I22" s="5">
        <f t="shared" si="1"/>
        <v>0</v>
      </c>
      <c r="J22" s="4">
        <v>0</v>
      </c>
      <c r="K22" s="4">
        <v>0</v>
      </c>
      <c r="L22" s="49"/>
      <c r="M22" s="49"/>
      <c r="N22" s="49"/>
      <c r="O22" s="49"/>
      <c r="P22" s="49"/>
      <c r="Q22" s="49"/>
      <c r="R22" s="49"/>
      <c r="S22" s="50"/>
    </row>
    <row r="23" spans="1:19">
      <c r="A23" s="5" t="s">
        <v>356</v>
      </c>
      <c r="B23" s="5" t="s">
        <v>775</v>
      </c>
      <c r="C23" s="67">
        <v>1057330</v>
      </c>
      <c r="D23" s="70" t="s">
        <v>778</v>
      </c>
      <c r="E23" s="5" t="s">
        <v>777</v>
      </c>
      <c r="F23" s="5" t="s">
        <v>1148</v>
      </c>
      <c r="G23" s="5" t="s">
        <v>776</v>
      </c>
      <c r="H23" s="149">
        <f t="shared" si="0"/>
        <v>-0.15384615384615385</v>
      </c>
      <c r="I23" s="150">
        <f t="shared" si="1"/>
        <v>-10</v>
      </c>
      <c r="J23" s="4">
        <v>55</v>
      </c>
      <c r="K23" s="4">
        <v>65</v>
      </c>
      <c r="L23" s="4">
        <v>70</v>
      </c>
      <c r="M23" s="4">
        <v>80</v>
      </c>
      <c r="N23" s="4">
        <v>85</v>
      </c>
      <c r="O23" s="4">
        <v>75</v>
      </c>
      <c r="P23" s="4">
        <v>60</v>
      </c>
      <c r="Q23" s="4">
        <v>55</v>
      </c>
      <c r="R23" s="4">
        <v>76</v>
      </c>
      <c r="S23" s="71">
        <v>94</v>
      </c>
    </row>
    <row r="24" spans="1:19">
      <c r="A24" s="5" t="s">
        <v>356</v>
      </c>
      <c r="B24" s="5" t="s">
        <v>775</v>
      </c>
      <c r="C24" s="67">
        <v>1105113</v>
      </c>
      <c r="D24" s="70" t="s">
        <v>774</v>
      </c>
      <c r="E24" s="5" t="s">
        <v>773</v>
      </c>
      <c r="F24" s="5" t="s">
        <v>1148</v>
      </c>
      <c r="G24" s="5" t="s">
        <v>772</v>
      </c>
      <c r="H24" s="58">
        <f t="shared" si="0"/>
        <v>0</v>
      </c>
      <c r="I24" s="59">
        <f t="shared" si="1"/>
        <v>0</v>
      </c>
      <c r="J24" s="54">
        <v>60</v>
      </c>
      <c r="K24" s="54">
        <v>60</v>
      </c>
      <c r="L24" s="54">
        <v>55</v>
      </c>
      <c r="M24" s="54">
        <v>75</v>
      </c>
      <c r="N24" s="54">
        <v>80</v>
      </c>
      <c r="O24" s="54">
        <v>85</v>
      </c>
      <c r="P24" s="54">
        <v>125</v>
      </c>
      <c r="Q24" s="54">
        <v>165</v>
      </c>
      <c r="R24" s="54">
        <v>150</v>
      </c>
      <c r="S24" s="145">
        <v>145</v>
      </c>
    </row>
    <row r="25" spans="1:19" ht="15" thickBot="1">
      <c r="D25" s="72" t="str">
        <f>"Church Count: "&amp;COUNTA(D5:D24)</f>
        <v>Church Count: 20</v>
      </c>
      <c r="E25" s="49"/>
      <c r="F25" s="49"/>
      <c r="G25" s="151" t="s">
        <v>1207</v>
      </c>
      <c r="H25" s="49"/>
      <c r="I25" s="49"/>
      <c r="J25" s="197">
        <f t="shared" ref="J25:S25" si="2">SUM(J5:J24)</f>
        <v>9084</v>
      </c>
      <c r="K25" s="197">
        <f t="shared" si="2"/>
        <v>8760</v>
      </c>
      <c r="L25" s="197">
        <f t="shared" si="2"/>
        <v>8078</v>
      </c>
      <c r="M25" s="197">
        <f t="shared" si="2"/>
        <v>7820</v>
      </c>
      <c r="N25" s="197">
        <f t="shared" si="2"/>
        <v>7384</v>
      </c>
      <c r="O25" s="197">
        <f t="shared" si="2"/>
        <v>6828</v>
      </c>
      <c r="P25" s="197">
        <f t="shared" si="2"/>
        <v>6115</v>
      </c>
      <c r="Q25" s="197">
        <f t="shared" si="2"/>
        <v>5888</v>
      </c>
      <c r="R25" s="197">
        <f t="shared" si="2"/>
        <v>5819</v>
      </c>
      <c r="S25" s="198">
        <f t="shared" si="2"/>
        <v>5308</v>
      </c>
    </row>
    <row r="26" spans="1:19" ht="15" thickTop="1">
      <c r="D26" s="152" t="s">
        <v>1180</v>
      </c>
      <c r="E26" s="49"/>
      <c r="F26" s="49"/>
      <c r="G26" s="151" t="s">
        <v>1208</v>
      </c>
      <c r="H26" s="49"/>
      <c r="I26" s="49"/>
      <c r="J26" s="49">
        <f>J25-K25</f>
        <v>324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53" t="s">
        <v>1181</v>
      </c>
      <c r="E27" s="146"/>
      <c r="F27" s="146"/>
      <c r="G27" s="151" t="s">
        <v>1209</v>
      </c>
      <c r="H27" s="49"/>
      <c r="I27" s="49"/>
      <c r="J27" s="169">
        <f>(J25-K25)/ABS(K25)</f>
        <v>3.6986301369863014E-2</v>
      </c>
      <c r="K27" s="49"/>
      <c r="L27" s="49"/>
      <c r="M27" s="49"/>
      <c r="N27" s="49"/>
      <c r="O27" s="49"/>
      <c r="P27" s="49"/>
      <c r="Q27" s="49"/>
      <c r="R27" s="49"/>
      <c r="S27" s="50"/>
    </row>
    <row r="28" spans="1:19">
      <c r="D28" s="170" t="s">
        <v>1210</v>
      </c>
      <c r="E28" s="49"/>
      <c r="F28" s="49"/>
      <c r="G28" s="218" t="s">
        <v>1219</v>
      </c>
      <c r="H28" s="49"/>
      <c r="I28" s="49"/>
      <c r="J28" s="222">
        <f>J25-S25</f>
        <v>3776</v>
      </c>
      <c r="K28" s="49"/>
      <c r="L28" s="49"/>
      <c r="M28" s="49"/>
      <c r="N28" s="49"/>
      <c r="O28" s="49"/>
      <c r="P28" s="49"/>
      <c r="Q28" s="49"/>
      <c r="R28" s="49"/>
      <c r="S28" s="50"/>
    </row>
    <row r="29" spans="1:19">
      <c r="D29" s="154" t="s">
        <v>1182</v>
      </c>
      <c r="E29" s="51"/>
      <c r="F29" s="51"/>
      <c r="G29" s="186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2"/>
    </row>
  </sheetData>
  <mergeCells count="1">
    <mergeCell ref="D1:S1"/>
  </mergeCells>
  <printOptions horizontalCentered="1"/>
  <pageMargins left="0.7" right="0.7" top="0.75" bottom="0.75" header="0.3" footer="0.3"/>
  <pageSetup scale="69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 enableFormatConditionsCalculation="0">
    <pageSetUpPr fitToPage="1"/>
  </sheetPr>
  <dimension ref="A1:S32"/>
  <sheetViews>
    <sheetView topLeftCell="D1" workbookViewId="0">
      <selection activeCell="J31" sqref="J31"/>
    </sheetView>
  </sheetViews>
  <sheetFormatPr baseColWidth="10" defaultColWidth="8.83203125" defaultRowHeight="14" x14ac:dyDescent="0"/>
  <cols>
    <col min="1" max="1" width="7.5" style="3" hidden="1" customWidth="1"/>
    <col min="2" max="2" width="16.33203125" style="3" hidden="1" customWidth="1"/>
    <col min="3" max="3" width="8.1640625" style="3" hidden="1" customWidth="1"/>
    <col min="4" max="4" width="45.1640625" style="3" customWidth="1"/>
    <col min="5" max="5" width="11.5" style="3" bestFit="1" customWidth="1"/>
    <col min="6" max="6" width="10" style="3" bestFit="1" customWidth="1"/>
    <col min="7" max="7" width="22.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South Fort Worth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356</v>
      </c>
      <c r="B5" s="5" t="s">
        <v>820</v>
      </c>
      <c r="C5" s="67">
        <v>1094937</v>
      </c>
      <c r="D5" s="70" t="s">
        <v>867</v>
      </c>
      <c r="E5" s="5" t="s">
        <v>866</v>
      </c>
      <c r="F5" s="5" t="s">
        <v>1148</v>
      </c>
      <c r="G5" s="5" t="s">
        <v>865</v>
      </c>
      <c r="H5" s="149">
        <f>(J5-K5)/ABS(K5)</f>
        <v>-0.4</v>
      </c>
      <c r="I5" s="150">
        <f>J5-K5</f>
        <v>-60</v>
      </c>
      <c r="J5" s="4">
        <v>90</v>
      </c>
      <c r="K5" s="4">
        <v>150</v>
      </c>
      <c r="L5" s="4">
        <v>175</v>
      </c>
      <c r="M5" s="4">
        <v>150</v>
      </c>
      <c r="N5" s="4">
        <v>150</v>
      </c>
      <c r="O5" s="4">
        <v>200</v>
      </c>
      <c r="P5" s="4">
        <v>200</v>
      </c>
      <c r="Q5" s="4">
        <v>180</v>
      </c>
      <c r="R5" s="4">
        <v>170</v>
      </c>
      <c r="S5" s="71">
        <v>185</v>
      </c>
    </row>
    <row r="6" spans="1:19">
      <c r="A6" s="5" t="s">
        <v>356</v>
      </c>
      <c r="B6" s="5" t="s">
        <v>820</v>
      </c>
      <c r="C6" s="67">
        <v>1060177</v>
      </c>
      <c r="D6" s="70" t="s">
        <v>864</v>
      </c>
      <c r="E6" s="5" t="s">
        <v>29</v>
      </c>
      <c r="F6" s="5" t="s">
        <v>1148</v>
      </c>
      <c r="G6" s="5" t="s">
        <v>863</v>
      </c>
      <c r="H6" s="58">
        <f t="shared" ref="H6:H27" si="0">(J6-K6)/ABS(K6)</f>
        <v>0</v>
      </c>
      <c r="I6" s="59">
        <f t="shared" ref="I6:I27" si="1">J6-K6</f>
        <v>0</v>
      </c>
      <c r="J6" s="4">
        <v>95</v>
      </c>
      <c r="K6" s="4">
        <v>95</v>
      </c>
      <c r="L6" s="4">
        <v>95</v>
      </c>
      <c r="M6" s="4">
        <v>95</v>
      </c>
      <c r="N6" s="4">
        <v>97</v>
      </c>
      <c r="O6" s="4">
        <v>110</v>
      </c>
      <c r="P6" s="4">
        <v>120</v>
      </c>
      <c r="Q6" s="4">
        <v>120</v>
      </c>
      <c r="R6" s="4">
        <v>175</v>
      </c>
      <c r="S6" s="71">
        <v>162</v>
      </c>
    </row>
    <row r="7" spans="1:19">
      <c r="A7" s="5" t="s">
        <v>356</v>
      </c>
      <c r="B7" s="5" t="s">
        <v>820</v>
      </c>
      <c r="C7" s="67">
        <v>1060201</v>
      </c>
      <c r="D7" s="70" t="s">
        <v>862</v>
      </c>
      <c r="E7" s="5" t="s">
        <v>29</v>
      </c>
      <c r="F7" s="5" t="s">
        <v>1148</v>
      </c>
      <c r="G7" s="5" t="s">
        <v>861</v>
      </c>
      <c r="H7" s="149">
        <f t="shared" si="0"/>
        <v>-4.4444444444444446E-2</v>
      </c>
      <c r="I7" s="150">
        <f t="shared" si="1"/>
        <v>-20</v>
      </c>
      <c r="J7" s="4">
        <v>430</v>
      </c>
      <c r="K7" s="4">
        <v>450</v>
      </c>
      <c r="L7" s="4">
        <v>450</v>
      </c>
      <c r="M7" s="4">
        <v>450</v>
      </c>
      <c r="N7" s="4">
        <v>520</v>
      </c>
      <c r="O7" s="4">
        <v>500</v>
      </c>
      <c r="P7" s="4">
        <v>520</v>
      </c>
      <c r="Q7" s="4">
        <v>525</v>
      </c>
      <c r="R7" s="4">
        <v>504</v>
      </c>
      <c r="S7" s="71">
        <v>525</v>
      </c>
    </row>
    <row r="8" spans="1:19">
      <c r="A8" s="5" t="s">
        <v>356</v>
      </c>
      <c r="B8" s="5" t="s">
        <v>820</v>
      </c>
      <c r="C8" s="67">
        <v>1060276</v>
      </c>
      <c r="D8" s="70" t="s">
        <v>860</v>
      </c>
      <c r="E8" s="5" t="s">
        <v>859</v>
      </c>
      <c r="F8" s="5" t="s">
        <v>1147</v>
      </c>
      <c r="G8" s="5" t="s">
        <v>858</v>
      </c>
      <c r="H8" s="149">
        <f t="shared" si="0"/>
        <v>-3.0769230769230771E-2</v>
      </c>
      <c r="I8" s="150">
        <f t="shared" si="1"/>
        <v>-2</v>
      </c>
      <c r="J8" s="4">
        <v>63</v>
      </c>
      <c r="K8" s="4">
        <v>65</v>
      </c>
      <c r="L8" s="4">
        <v>68</v>
      </c>
      <c r="M8" s="4">
        <v>71</v>
      </c>
      <c r="N8" s="4">
        <v>56</v>
      </c>
      <c r="O8" s="4">
        <v>51</v>
      </c>
      <c r="P8" s="4">
        <v>38</v>
      </c>
      <c r="Q8" s="4">
        <v>28</v>
      </c>
      <c r="R8" s="4">
        <v>45</v>
      </c>
      <c r="S8" s="71">
        <v>45</v>
      </c>
    </row>
    <row r="9" spans="1:19">
      <c r="A9" s="5" t="s">
        <v>356</v>
      </c>
      <c r="B9" s="5" t="s">
        <v>820</v>
      </c>
      <c r="C9" s="67">
        <v>1060391</v>
      </c>
      <c r="D9" s="70" t="s">
        <v>857</v>
      </c>
      <c r="E9" s="5" t="s">
        <v>856</v>
      </c>
      <c r="F9" s="5" t="s">
        <v>1148</v>
      </c>
      <c r="G9" s="5" t="s">
        <v>855</v>
      </c>
      <c r="H9" s="58">
        <f t="shared" si="0"/>
        <v>0</v>
      </c>
      <c r="I9" s="59">
        <f t="shared" si="1"/>
        <v>0</v>
      </c>
      <c r="J9" s="4">
        <v>250</v>
      </c>
      <c r="K9" s="4">
        <v>250</v>
      </c>
      <c r="L9" s="4">
        <v>250</v>
      </c>
      <c r="M9" s="4">
        <v>250</v>
      </c>
      <c r="N9" s="4">
        <v>250</v>
      </c>
      <c r="O9" s="4">
        <v>200</v>
      </c>
      <c r="P9" s="4">
        <v>100</v>
      </c>
      <c r="Q9" s="4">
        <v>100</v>
      </c>
      <c r="R9" s="4">
        <v>100</v>
      </c>
      <c r="S9" s="71">
        <v>90</v>
      </c>
    </row>
    <row r="10" spans="1:19">
      <c r="A10" s="5" t="s">
        <v>356</v>
      </c>
      <c r="B10" s="5" t="s">
        <v>820</v>
      </c>
      <c r="C10" s="67">
        <v>1060581</v>
      </c>
      <c r="D10" s="70" t="s">
        <v>854</v>
      </c>
      <c r="E10" s="5" t="s">
        <v>11</v>
      </c>
      <c r="F10" s="5" t="s">
        <v>1148</v>
      </c>
      <c r="G10" s="5" t="s">
        <v>853</v>
      </c>
      <c r="H10" s="174">
        <f t="shared" si="0"/>
        <v>0.1348148148148148</v>
      </c>
      <c r="I10" s="173">
        <f t="shared" si="1"/>
        <v>182</v>
      </c>
      <c r="J10" s="176">
        <v>1532</v>
      </c>
      <c r="K10" s="4">
        <v>1350</v>
      </c>
      <c r="L10" s="4">
        <v>1350</v>
      </c>
      <c r="M10" s="4">
        <v>1250</v>
      </c>
      <c r="N10" s="4">
        <v>1202</v>
      </c>
      <c r="O10" s="4">
        <v>1129</v>
      </c>
      <c r="P10" s="4">
        <v>1173</v>
      </c>
      <c r="Q10" s="4">
        <v>1125</v>
      </c>
      <c r="R10" s="4">
        <v>1075</v>
      </c>
      <c r="S10" s="71">
        <v>1035</v>
      </c>
    </row>
    <row r="11" spans="1:19">
      <c r="A11" s="5" t="s">
        <v>356</v>
      </c>
      <c r="B11" s="5" t="s">
        <v>820</v>
      </c>
      <c r="C11" s="67">
        <v>1060698</v>
      </c>
      <c r="D11" s="70" t="s">
        <v>852</v>
      </c>
      <c r="E11" s="5" t="s">
        <v>11</v>
      </c>
      <c r="F11" s="5" t="s">
        <v>1148</v>
      </c>
      <c r="G11" s="5" t="s">
        <v>851</v>
      </c>
      <c r="H11" s="58">
        <f t="shared" si="0"/>
        <v>0</v>
      </c>
      <c r="I11" s="59">
        <f t="shared" si="1"/>
        <v>0</v>
      </c>
      <c r="J11" s="4">
        <v>50</v>
      </c>
      <c r="K11" s="4">
        <v>50</v>
      </c>
      <c r="L11" s="4">
        <v>50</v>
      </c>
      <c r="M11" s="4">
        <v>50</v>
      </c>
      <c r="N11" s="4">
        <v>47</v>
      </c>
      <c r="O11" s="4">
        <v>35</v>
      </c>
      <c r="P11" s="4">
        <v>40</v>
      </c>
      <c r="Q11" s="4">
        <v>40</v>
      </c>
      <c r="R11" s="4">
        <v>35</v>
      </c>
      <c r="S11" s="71">
        <v>22</v>
      </c>
    </row>
    <row r="12" spans="1:19">
      <c r="A12" s="5" t="s">
        <v>356</v>
      </c>
      <c r="B12" s="5" t="s">
        <v>820</v>
      </c>
      <c r="C12" s="67">
        <v>1060722</v>
      </c>
      <c r="D12" s="70" t="s">
        <v>336</v>
      </c>
      <c r="E12" s="5" t="s">
        <v>11</v>
      </c>
      <c r="F12" s="5" t="s">
        <v>1148</v>
      </c>
      <c r="G12" s="5" t="s">
        <v>850</v>
      </c>
      <c r="H12" s="149">
        <f t="shared" si="0"/>
        <v>-0.21428571428571427</v>
      </c>
      <c r="I12" s="150">
        <f t="shared" si="1"/>
        <v>-42</v>
      </c>
      <c r="J12" s="4">
        <v>154</v>
      </c>
      <c r="K12" s="4">
        <v>196</v>
      </c>
      <c r="L12" s="4">
        <v>221</v>
      </c>
      <c r="M12" s="4">
        <v>220</v>
      </c>
      <c r="N12" s="4">
        <v>235</v>
      </c>
      <c r="O12" s="4">
        <v>258</v>
      </c>
      <c r="P12" s="4">
        <v>270</v>
      </c>
      <c r="Q12" s="4">
        <v>268</v>
      </c>
      <c r="R12" s="4">
        <v>238</v>
      </c>
      <c r="S12" s="71">
        <v>236</v>
      </c>
    </row>
    <row r="13" spans="1:19">
      <c r="A13" s="5" t="s">
        <v>356</v>
      </c>
      <c r="B13" s="5" t="s">
        <v>820</v>
      </c>
      <c r="C13" s="67">
        <v>1060748</v>
      </c>
      <c r="D13" s="70" t="s">
        <v>849</v>
      </c>
      <c r="E13" s="5" t="s">
        <v>848</v>
      </c>
      <c r="F13" s="5" t="s">
        <v>1148</v>
      </c>
      <c r="G13" s="5" t="s">
        <v>847</v>
      </c>
      <c r="H13" s="17">
        <f t="shared" si="0"/>
        <v>2.2222222222222223E-2</v>
      </c>
      <c r="I13" s="5">
        <f t="shared" si="1"/>
        <v>2</v>
      </c>
      <c r="J13" s="4">
        <v>92</v>
      </c>
      <c r="K13" s="4">
        <v>90</v>
      </c>
      <c r="L13" s="4">
        <v>98</v>
      </c>
      <c r="M13" s="4">
        <v>84</v>
      </c>
      <c r="N13" s="4">
        <v>82</v>
      </c>
      <c r="O13" s="4">
        <v>84</v>
      </c>
      <c r="P13" s="4">
        <v>81</v>
      </c>
      <c r="Q13" s="4">
        <v>90</v>
      </c>
      <c r="R13" s="4">
        <v>84</v>
      </c>
      <c r="S13" s="71">
        <v>96</v>
      </c>
    </row>
    <row r="14" spans="1:19">
      <c r="A14" s="5" t="s">
        <v>356</v>
      </c>
      <c r="B14" s="5" t="s">
        <v>820</v>
      </c>
      <c r="C14" s="67">
        <v>1060813</v>
      </c>
      <c r="D14" s="70" t="s">
        <v>1174</v>
      </c>
      <c r="E14" s="5" t="s">
        <v>11</v>
      </c>
      <c r="F14" s="5" t="s">
        <v>1147</v>
      </c>
      <c r="G14" s="5" t="s">
        <v>3</v>
      </c>
      <c r="H14" s="58">
        <f t="shared" si="0"/>
        <v>0</v>
      </c>
      <c r="I14" s="59">
        <f t="shared" si="1"/>
        <v>0</v>
      </c>
      <c r="J14" s="4">
        <v>30</v>
      </c>
      <c r="K14" s="4">
        <v>30</v>
      </c>
      <c r="L14" s="4">
        <v>30</v>
      </c>
      <c r="M14" s="4">
        <v>30</v>
      </c>
      <c r="N14" s="4">
        <v>30</v>
      </c>
      <c r="O14" s="4">
        <v>30</v>
      </c>
      <c r="P14" s="4">
        <v>25</v>
      </c>
      <c r="Q14" s="4">
        <v>20</v>
      </c>
      <c r="R14" s="4">
        <v>15</v>
      </c>
      <c r="S14" s="71">
        <v>25</v>
      </c>
    </row>
    <row r="15" spans="1:19">
      <c r="A15" s="5" t="s">
        <v>356</v>
      </c>
      <c r="B15" s="5" t="s">
        <v>820</v>
      </c>
      <c r="C15" s="67">
        <v>1060037</v>
      </c>
      <c r="D15" s="70" t="s">
        <v>846</v>
      </c>
      <c r="E15" s="5" t="s">
        <v>845</v>
      </c>
      <c r="F15" s="5" t="s">
        <v>1148</v>
      </c>
      <c r="G15" s="5" t="s">
        <v>844</v>
      </c>
      <c r="H15" s="58">
        <f t="shared" si="0"/>
        <v>0</v>
      </c>
      <c r="I15" s="59">
        <f t="shared" si="1"/>
        <v>0</v>
      </c>
      <c r="J15" s="4">
        <v>85</v>
      </c>
      <c r="K15" s="4">
        <v>85</v>
      </c>
      <c r="L15" s="4">
        <v>80</v>
      </c>
      <c r="M15" s="4">
        <v>90</v>
      </c>
      <c r="N15" s="4">
        <v>85</v>
      </c>
      <c r="O15" s="4">
        <v>85</v>
      </c>
      <c r="P15" s="4">
        <v>90</v>
      </c>
      <c r="Q15" s="4">
        <v>90</v>
      </c>
      <c r="R15" s="4">
        <v>75</v>
      </c>
      <c r="S15" s="71">
        <v>80</v>
      </c>
    </row>
    <row r="16" spans="1:19">
      <c r="A16" s="5" t="s">
        <v>356</v>
      </c>
      <c r="B16" s="5" t="s">
        <v>820</v>
      </c>
      <c r="C16" s="67">
        <v>1060946</v>
      </c>
      <c r="D16" s="70" t="s">
        <v>843</v>
      </c>
      <c r="E16" s="5" t="s">
        <v>818</v>
      </c>
      <c r="F16" s="5" t="s">
        <v>1148</v>
      </c>
      <c r="G16" s="5" t="s">
        <v>842</v>
      </c>
      <c r="H16" s="174">
        <f t="shared" si="0"/>
        <v>0.1</v>
      </c>
      <c r="I16" s="173">
        <f t="shared" si="1"/>
        <v>20</v>
      </c>
      <c r="J16" s="4">
        <v>220</v>
      </c>
      <c r="K16" s="4">
        <v>200</v>
      </c>
      <c r="L16" s="4">
        <v>200</v>
      </c>
      <c r="M16" s="4">
        <v>200</v>
      </c>
      <c r="N16" s="4">
        <v>160</v>
      </c>
      <c r="O16" s="4">
        <v>160</v>
      </c>
      <c r="P16" s="4">
        <v>140</v>
      </c>
      <c r="Q16" s="4">
        <v>160</v>
      </c>
      <c r="R16" s="4">
        <v>240</v>
      </c>
      <c r="S16" s="71">
        <v>285</v>
      </c>
    </row>
    <row r="17" spans="1:19">
      <c r="A17" s="5" t="s">
        <v>356</v>
      </c>
      <c r="B17" s="5" t="s">
        <v>820</v>
      </c>
      <c r="C17" s="67">
        <v>1758952</v>
      </c>
      <c r="D17" s="70" t="s">
        <v>841</v>
      </c>
      <c r="E17" s="5" t="s">
        <v>818</v>
      </c>
      <c r="F17" s="5" t="s">
        <v>1147</v>
      </c>
      <c r="G17" s="5" t="s">
        <v>840</v>
      </c>
      <c r="H17" s="17" t="s">
        <v>1154</v>
      </c>
      <c r="I17" s="5">
        <f t="shared" si="1"/>
        <v>68</v>
      </c>
      <c r="J17" s="4">
        <v>68</v>
      </c>
      <c r="K17" s="49"/>
      <c r="L17" s="49"/>
      <c r="M17" s="49"/>
      <c r="N17" s="49"/>
      <c r="O17" s="49"/>
      <c r="P17" s="49"/>
      <c r="Q17" s="49"/>
      <c r="R17" s="49"/>
      <c r="S17" s="50"/>
    </row>
    <row r="18" spans="1:19">
      <c r="A18" s="5" t="s">
        <v>356</v>
      </c>
      <c r="B18" s="5" t="s">
        <v>820</v>
      </c>
      <c r="C18" s="67">
        <v>1104785</v>
      </c>
      <c r="D18" s="70" t="s">
        <v>25</v>
      </c>
      <c r="E18" s="5" t="s">
        <v>839</v>
      </c>
      <c r="F18" s="5" t="s">
        <v>1148</v>
      </c>
      <c r="G18" s="5" t="s">
        <v>838</v>
      </c>
      <c r="H18" s="149">
        <f t="shared" si="0"/>
        <v>-0.04</v>
      </c>
      <c r="I18" s="150">
        <f t="shared" si="1"/>
        <v>-3</v>
      </c>
      <c r="J18" s="4">
        <v>72</v>
      </c>
      <c r="K18" s="4">
        <v>75</v>
      </c>
      <c r="L18" s="4">
        <v>77</v>
      </c>
      <c r="M18" s="4">
        <v>76</v>
      </c>
      <c r="N18" s="4">
        <v>80</v>
      </c>
      <c r="O18" s="4">
        <v>86</v>
      </c>
      <c r="P18" s="4">
        <v>73</v>
      </c>
      <c r="Q18" s="4">
        <v>81</v>
      </c>
      <c r="R18" s="4">
        <v>75</v>
      </c>
      <c r="S18" s="71">
        <v>70</v>
      </c>
    </row>
    <row r="19" spans="1:19">
      <c r="A19" s="5" t="s">
        <v>356</v>
      </c>
      <c r="B19" s="5" t="s">
        <v>820</v>
      </c>
      <c r="C19" s="67">
        <v>1148477</v>
      </c>
      <c r="D19" s="70" t="s">
        <v>837</v>
      </c>
      <c r="E19" s="5" t="s">
        <v>415</v>
      </c>
      <c r="F19" s="5" t="s">
        <v>1148</v>
      </c>
      <c r="G19" s="5" t="s">
        <v>836</v>
      </c>
      <c r="H19" s="174">
        <f t="shared" si="0"/>
        <v>0.22511485451761101</v>
      </c>
      <c r="I19" s="173">
        <f t="shared" si="1"/>
        <v>147</v>
      </c>
      <c r="J19" s="4">
        <v>800</v>
      </c>
      <c r="K19" s="4">
        <v>653</v>
      </c>
      <c r="L19" s="4">
        <v>650</v>
      </c>
      <c r="M19" s="4">
        <v>475</v>
      </c>
      <c r="N19" s="4">
        <v>310</v>
      </c>
      <c r="O19" s="4">
        <v>350</v>
      </c>
      <c r="P19" s="4">
        <v>190</v>
      </c>
      <c r="Q19" s="4">
        <v>190</v>
      </c>
      <c r="R19" s="4">
        <v>50</v>
      </c>
      <c r="S19" s="71">
        <v>50</v>
      </c>
    </row>
    <row r="20" spans="1:19">
      <c r="A20" s="5" t="s">
        <v>356</v>
      </c>
      <c r="B20" s="5" t="s">
        <v>820</v>
      </c>
      <c r="C20" s="67">
        <v>1190966</v>
      </c>
      <c r="D20" s="70" t="s">
        <v>835</v>
      </c>
      <c r="E20" s="5" t="s">
        <v>818</v>
      </c>
      <c r="F20" s="5" t="s">
        <v>1148</v>
      </c>
      <c r="G20" s="5" t="s">
        <v>834</v>
      </c>
      <c r="H20" s="175">
        <f t="shared" si="0"/>
        <v>0.30476190476190479</v>
      </c>
      <c r="I20" s="173">
        <f t="shared" si="1"/>
        <v>64</v>
      </c>
      <c r="J20" s="4">
        <v>274</v>
      </c>
      <c r="K20" s="4">
        <v>210</v>
      </c>
      <c r="L20" s="4">
        <v>197</v>
      </c>
      <c r="M20" s="4">
        <v>176</v>
      </c>
      <c r="N20" s="4">
        <v>140</v>
      </c>
      <c r="O20" s="4">
        <v>110</v>
      </c>
      <c r="P20" s="4">
        <v>67</v>
      </c>
      <c r="Q20" s="4">
        <v>45</v>
      </c>
      <c r="R20" s="49"/>
      <c r="S20" s="50"/>
    </row>
    <row r="21" spans="1:19">
      <c r="A21" s="5" t="s">
        <v>356</v>
      </c>
      <c r="B21" s="5" t="s">
        <v>820</v>
      </c>
      <c r="C21" s="67">
        <v>1303262</v>
      </c>
      <c r="D21" s="70" t="s">
        <v>833</v>
      </c>
      <c r="E21" s="5" t="s">
        <v>818</v>
      </c>
      <c r="F21" s="5" t="s">
        <v>1148</v>
      </c>
      <c r="G21" s="5" t="s">
        <v>832</v>
      </c>
      <c r="H21" s="149">
        <f t="shared" si="0"/>
        <v>-3.6585365853658534E-2</v>
      </c>
      <c r="I21" s="150">
        <f t="shared" si="1"/>
        <v>-15</v>
      </c>
      <c r="J21" s="4">
        <v>395</v>
      </c>
      <c r="K21" s="4">
        <v>410</v>
      </c>
      <c r="L21" s="4">
        <v>436</v>
      </c>
      <c r="M21" s="4">
        <v>413</v>
      </c>
      <c r="N21" s="4">
        <v>357</v>
      </c>
      <c r="O21" s="4">
        <v>344</v>
      </c>
      <c r="P21" s="4">
        <v>268</v>
      </c>
      <c r="Q21" s="4">
        <v>268</v>
      </c>
      <c r="R21" s="4">
        <v>274</v>
      </c>
      <c r="S21" s="71">
        <v>278</v>
      </c>
    </row>
    <row r="22" spans="1:19">
      <c r="A22" s="5" t="s">
        <v>356</v>
      </c>
      <c r="B22" s="5" t="s">
        <v>820</v>
      </c>
      <c r="C22" s="67">
        <v>1344894</v>
      </c>
      <c r="D22" s="70" t="s">
        <v>831</v>
      </c>
      <c r="E22" s="5" t="s">
        <v>830</v>
      </c>
      <c r="F22" s="5" t="s">
        <v>1147</v>
      </c>
      <c r="G22" s="5" t="s">
        <v>829</v>
      </c>
      <c r="H22" s="174">
        <f t="shared" si="0"/>
        <v>0.23684210526315788</v>
      </c>
      <c r="I22" s="173">
        <f t="shared" si="1"/>
        <v>9</v>
      </c>
      <c r="J22" s="4">
        <v>47</v>
      </c>
      <c r="K22" s="4">
        <v>38</v>
      </c>
      <c r="L22" s="4">
        <v>38</v>
      </c>
      <c r="M22" s="4">
        <v>38</v>
      </c>
      <c r="N22" s="4">
        <v>38</v>
      </c>
      <c r="O22" s="49"/>
      <c r="P22" s="49"/>
      <c r="Q22" s="49"/>
      <c r="R22" s="49"/>
      <c r="S22" s="50"/>
    </row>
    <row r="23" spans="1:19">
      <c r="A23" s="5" t="s">
        <v>356</v>
      </c>
      <c r="B23" s="5" t="s">
        <v>820</v>
      </c>
      <c r="C23" s="67">
        <v>1387521</v>
      </c>
      <c r="D23" s="70" t="s">
        <v>828</v>
      </c>
      <c r="E23" s="5" t="s">
        <v>29</v>
      </c>
      <c r="F23" s="5" t="s">
        <v>1148</v>
      </c>
      <c r="G23" s="5" t="s">
        <v>827</v>
      </c>
      <c r="H23" s="174">
        <f t="shared" si="0"/>
        <v>0.24823529411764705</v>
      </c>
      <c r="I23" s="173">
        <f t="shared" si="1"/>
        <v>211</v>
      </c>
      <c r="J23" s="4">
        <v>1061</v>
      </c>
      <c r="K23" s="4">
        <v>850</v>
      </c>
      <c r="L23" s="4">
        <v>697</v>
      </c>
      <c r="M23" s="4">
        <v>694</v>
      </c>
      <c r="N23" s="4">
        <v>752</v>
      </c>
      <c r="O23" s="4">
        <v>644</v>
      </c>
      <c r="P23" s="4">
        <v>593</v>
      </c>
      <c r="Q23" s="4">
        <v>700</v>
      </c>
      <c r="R23" s="4">
        <v>650</v>
      </c>
      <c r="S23" s="71">
        <v>648</v>
      </c>
    </row>
    <row r="24" spans="1:19">
      <c r="A24" s="5" t="s">
        <v>356</v>
      </c>
      <c r="B24" s="5" t="s">
        <v>820</v>
      </c>
      <c r="C24" s="67">
        <v>1612100</v>
      </c>
      <c r="D24" s="70" t="s">
        <v>826</v>
      </c>
      <c r="E24" s="5" t="s">
        <v>11</v>
      </c>
      <c r="F24" s="5" t="s">
        <v>1147</v>
      </c>
      <c r="G24" s="5" t="s">
        <v>3</v>
      </c>
      <c r="H24" s="58">
        <f t="shared" si="0"/>
        <v>0</v>
      </c>
      <c r="I24" s="59">
        <f t="shared" si="1"/>
        <v>0</v>
      </c>
      <c r="J24" s="4">
        <v>50</v>
      </c>
      <c r="K24" s="4">
        <v>50</v>
      </c>
      <c r="L24" s="4">
        <v>50</v>
      </c>
      <c r="M24" s="4">
        <v>0</v>
      </c>
      <c r="N24" s="49"/>
      <c r="O24" s="49"/>
      <c r="P24" s="49"/>
      <c r="Q24" s="49"/>
      <c r="R24" s="49"/>
      <c r="S24" s="50"/>
    </row>
    <row r="25" spans="1:19">
      <c r="A25" s="5" t="s">
        <v>356</v>
      </c>
      <c r="B25" s="5" t="s">
        <v>820</v>
      </c>
      <c r="C25" s="67">
        <v>1680479</v>
      </c>
      <c r="D25" s="70" t="s">
        <v>825</v>
      </c>
      <c r="E25" s="5" t="s">
        <v>824</v>
      </c>
      <c r="F25" s="5" t="s">
        <v>1149</v>
      </c>
      <c r="G25" s="5" t="s">
        <v>823</v>
      </c>
      <c r="H25" s="17" t="s">
        <v>1154</v>
      </c>
      <c r="I25" s="5">
        <f t="shared" si="1"/>
        <v>0</v>
      </c>
      <c r="J25" s="4">
        <v>0</v>
      </c>
      <c r="K25" s="4">
        <v>0</v>
      </c>
      <c r="L25" s="4">
        <v>0</v>
      </c>
      <c r="M25" s="49"/>
      <c r="N25" s="49"/>
      <c r="O25" s="49"/>
      <c r="P25" s="49"/>
      <c r="Q25" s="49"/>
      <c r="R25" s="49"/>
      <c r="S25" s="50"/>
    </row>
    <row r="26" spans="1:19">
      <c r="A26" s="5" t="s">
        <v>356</v>
      </c>
      <c r="B26" s="5" t="s">
        <v>820</v>
      </c>
      <c r="C26" s="67">
        <v>1756188</v>
      </c>
      <c r="D26" s="70" t="s">
        <v>822</v>
      </c>
      <c r="E26" s="5" t="s">
        <v>11</v>
      </c>
      <c r="F26" s="5" t="s">
        <v>1149</v>
      </c>
      <c r="G26" s="5" t="s">
        <v>821</v>
      </c>
      <c r="H26" s="17" t="s">
        <v>1154</v>
      </c>
      <c r="I26" s="5">
        <f t="shared" si="1"/>
        <v>0</v>
      </c>
      <c r="J26" s="4">
        <v>0</v>
      </c>
      <c r="K26" s="4">
        <v>0</v>
      </c>
      <c r="L26" s="49"/>
      <c r="M26" s="49"/>
      <c r="N26" s="49"/>
      <c r="O26" s="49"/>
      <c r="P26" s="49"/>
      <c r="Q26" s="49"/>
      <c r="R26" s="49"/>
      <c r="S26" s="50"/>
    </row>
    <row r="27" spans="1:19">
      <c r="A27" s="5" t="s">
        <v>356</v>
      </c>
      <c r="B27" s="5" t="s">
        <v>820</v>
      </c>
      <c r="C27" s="67">
        <v>1060912</v>
      </c>
      <c r="D27" s="70" t="s">
        <v>819</v>
      </c>
      <c r="E27" s="5" t="s">
        <v>818</v>
      </c>
      <c r="F27" s="5" t="s">
        <v>1147</v>
      </c>
      <c r="G27" s="5" t="s">
        <v>817</v>
      </c>
      <c r="H27" s="58">
        <f t="shared" si="0"/>
        <v>0</v>
      </c>
      <c r="I27" s="59">
        <f t="shared" si="1"/>
        <v>0</v>
      </c>
      <c r="J27" s="54">
        <v>27</v>
      </c>
      <c r="K27" s="54">
        <v>27</v>
      </c>
      <c r="L27" s="54">
        <v>35</v>
      </c>
      <c r="M27" s="54">
        <v>35</v>
      </c>
      <c r="N27" s="54">
        <v>34</v>
      </c>
      <c r="O27" s="54">
        <v>25</v>
      </c>
      <c r="P27" s="54">
        <v>30</v>
      </c>
      <c r="Q27" s="54">
        <v>22</v>
      </c>
      <c r="R27" s="54">
        <v>22</v>
      </c>
      <c r="S27" s="145">
        <v>16</v>
      </c>
    </row>
    <row r="28" spans="1:19" ht="15" thickBot="1">
      <c r="D28" s="72" t="str">
        <f>"Church Count: "&amp;COUNTA(D5:D27)</f>
        <v>Church Count: 23</v>
      </c>
      <c r="E28" s="49"/>
      <c r="F28" s="49"/>
      <c r="G28" s="151" t="s">
        <v>1207</v>
      </c>
      <c r="H28" s="49"/>
      <c r="I28" s="49"/>
      <c r="J28" s="199">
        <f t="shared" ref="J28:S28" si="2">SUM(J5:J27)</f>
        <v>5885</v>
      </c>
      <c r="K28" s="199">
        <f t="shared" si="2"/>
        <v>5324</v>
      </c>
      <c r="L28" s="199">
        <f t="shared" si="2"/>
        <v>5247</v>
      </c>
      <c r="M28" s="199">
        <f t="shared" si="2"/>
        <v>4847</v>
      </c>
      <c r="N28" s="199">
        <f t="shared" si="2"/>
        <v>4625</v>
      </c>
      <c r="O28" s="199">
        <f t="shared" si="2"/>
        <v>4401</v>
      </c>
      <c r="P28" s="199">
        <f t="shared" si="2"/>
        <v>4018</v>
      </c>
      <c r="Q28" s="199">
        <f t="shared" si="2"/>
        <v>4052</v>
      </c>
      <c r="R28" s="199">
        <f t="shared" si="2"/>
        <v>3827</v>
      </c>
      <c r="S28" s="200">
        <f t="shared" si="2"/>
        <v>3848</v>
      </c>
    </row>
    <row r="29" spans="1:19" ht="15" thickTop="1">
      <c r="D29" s="152" t="s">
        <v>1180</v>
      </c>
      <c r="E29" s="49"/>
      <c r="F29" s="49"/>
      <c r="G29" s="151" t="s">
        <v>1208</v>
      </c>
      <c r="H29" s="49"/>
      <c r="I29" s="49"/>
      <c r="J29" s="49">
        <f>J28-K28</f>
        <v>561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53" t="s">
        <v>1181</v>
      </c>
      <c r="E30" s="146"/>
      <c r="F30" s="146"/>
      <c r="G30" s="151" t="s">
        <v>1209</v>
      </c>
      <c r="H30" s="49"/>
      <c r="I30" s="49"/>
      <c r="J30" s="169">
        <f>(J28-K28)/ABS(K28)</f>
        <v>0.10537190082644628</v>
      </c>
      <c r="K30" s="49"/>
      <c r="L30" s="49"/>
      <c r="M30" s="49"/>
      <c r="N30" s="49"/>
      <c r="O30" s="49"/>
      <c r="P30" s="49"/>
      <c r="Q30" s="49"/>
      <c r="R30" s="49"/>
      <c r="S30" s="50"/>
    </row>
    <row r="31" spans="1:19">
      <c r="D31" s="170" t="s">
        <v>1210</v>
      </c>
      <c r="E31" s="49"/>
      <c r="F31" s="49"/>
      <c r="G31" s="218" t="s">
        <v>1219</v>
      </c>
      <c r="H31" s="49"/>
      <c r="I31" s="49"/>
      <c r="J31" s="222">
        <f>J28-S28</f>
        <v>2037</v>
      </c>
      <c r="K31" s="49"/>
      <c r="L31" s="49"/>
      <c r="M31" s="49"/>
      <c r="N31" s="49"/>
      <c r="O31" s="49"/>
      <c r="P31" s="49"/>
      <c r="Q31" s="49"/>
      <c r="R31" s="49"/>
      <c r="S31" s="50"/>
    </row>
    <row r="32" spans="1:19">
      <c r="D32" s="154" t="s">
        <v>1182</v>
      </c>
      <c r="E32" s="51"/>
      <c r="F32" s="51"/>
      <c r="G32" s="186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2"/>
    </row>
  </sheetData>
  <mergeCells count="1">
    <mergeCell ref="D1:S1"/>
  </mergeCells>
  <printOptions horizontalCentered="1"/>
  <pageMargins left="0.7" right="0.7" top="0.75" bottom="0.75" header="0.3" footer="0.3"/>
  <pageSetup scale="70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 enableFormatConditionsCalculation="0">
    <pageSetUpPr fitToPage="1"/>
  </sheetPr>
  <dimension ref="A1:S31"/>
  <sheetViews>
    <sheetView topLeftCell="D1" workbookViewId="0">
      <selection activeCell="J30" sqref="J30"/>
    </sheetView>
  </sheetViews>
  <sheetFormatPr baseColWidth="10" defaultColWidth="8.83203125" defaultRowHeight="14" x14ac:dyDescent="0"/>
  <cols>
    <col min="1" max="1" width="10.1640625" style="3" hidden="1" customWidth="1"/>
    <col min="2" max="2" width="10" style="3" hidden="1" customWidth="1"/>
    <col min="3" max="3" width="8.1640625" style="3" hidden="1" customWidth="1"/>
    <col min="4" max="4" width="37" style="3" customWidth="1"/>
    <col min="5" max="5" width="15" style="3" bestFit="1" customWidth="1"/>
    <col min="6" max="6" width="10" style="3" bestFit="1" customWidth="1"/>
    <col min="7" max="7" width="23.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East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Texarkana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226</v>
      </c>
      <c r="B5" s="5" t="s">
        <v>870</v>
      </c>
      <c r="C5" s="67">
        <v>1058841</v>
      </c>
      <c r="D5" s="70" t="s">
        <v>25</v>
      </c>
      <c r="E5" s="5" t="s">
        <v>915</v>
      </c>
      <c r="F5" s="5" t="s">
        <v>1148</v>
      </c>
      <c r="G5" s="5" t="s">
        <v>914</v>
      </c>
      <c r="H5" s="149">
        <f>(J5-K5)/ABS(K5)</f>
        <v>-0.14285714285714285</v>
      </c>
      <c r="I5" s="150">
        <f>J5-K5</f>
        <v>-5</v>
      </c>
      <c r="J5" s="4">
        <v>30</v>
      </c>
      <c r="K5" s="4">
        <v>35</v>
      </c>
      <c r="L5" s="4">
        <v>30</v>
      </c>
      <c r="M5" s="4">
        <v>30</v>
      </c>
      <c r="N5" s="4">
        <v>35</v>
      </c>
      <c r="O5" s="4">
        <v>35</v>
      </c>
      <c r="P5" s="4">
        <v>27</v>
      </c>
      <c r="Q5" s="4">
        <v>40</v>
      </c>
      <c r="R5" s="4">
        <v>40</v>
      </c>
      <c r="S5" s="71">
        <v>65</v>
      </c>
    </row>
    <row r="6" spans="1:19">
      <c r="A6" s="5" t="s">
        <v>226</v>
      </c>
      <c r="B6" s="5" t="s">
        <v>870</v>
      </c>
      <c r="C6" s="67">
        <v>1058387</v>
      </c>
      <c r="D6" s="70" t="s">
        <v>913</v>
      </c>
      <c r="E6" s="5" t="s">
        <v>912</v>
      </c>
      <c r="F6" s="5" t="s">
        <v>1147</v>
      </c>
      <c r="G6" s="5" t="s">
        <v>911</v>
      </c>
      <c r="H6" s="174">
        <f t="shared" ref="H6:H26" si="0">(J6-K6)/ABS(K6)</f>
        <v>0.2</v>
      </c>
      <c r="I6" s="173">
        <f t="shared" ref="I6:I26" si="1">J6-K6</f>
        <v>3</v>
      </c>
      <c r="J6" s="4">
        <v>18</v>
      </c>
      <c r="K6" s="4">
        <v>15</v>
      </c>
      <c r="L6" s="4">
        <v>20</v>
      </c>
      <c r="M6" s="4">
        <v>25</v>
      </c>
      <c r="N6" s="4">
        <v>25</v>
      </c>
      <c r="O6" s="4">
        <v>25</v>
      </c>
      <c r="P6" s="4">
        <v>35</v>
      </c>
      <c r="Q6" s="4">
        <v>36</v>
      </c>
      <c r="R6" s="4">
        <v>35</v>
      </c>
      <c r="S6" s="71">
        <v>42</v>
      </c>
    </row>
    <row r="7" spans="1:19">
      <c r="A7" s="5" t="s">
        <v>226</v>
      </c>
      <c r="B7" s="5" t="s">
        <v>870</v>
      </c>
      <c r="C7" s="67">
        <v>1058486</v>
      </c>
      <c r="D7" s="70" t="s">
        <v>25</v>
      </c>
      <c r="E7" s="5" t="s">
        <v>883</v>
      </c>
      <c r="F7" s="5" t="s">
        <v>1148</v>
      </c>
      <c r="G7" s="5" t="s">
        <v>910</v>
      </c>
      <c r="H7" s="58">
        <f t="shared" si="0"/>
        <v>0</v>
      </c>
      <c r="I7" s="59">
        <f t="shared" si="1"/>
        <v>0</v>
      </c>
      <c r="J7" s="4">
        <v>75</v>
      </c>
      <c r="K7" s="4">
        <v>75</v>
      </c>
      <c r="L7" s="4">
        <v>75</v>
      </c>
      <c r="M7" s="4">
        <v>75</v>
      </c>
      <c r="N7" s="4">
        <v>63</v>
      </c>
      <c r="O7" s="4">
        <v>63</v>
      </c>
      <c r="P7" s="4">
        <v>63</v>
      </c>
      <c r="Q7" s="4">
        <v>75</v>
      </c>
      <c r="R7" s="4">
        <v>75</v>
      </c>
      <c r="S7" s="71">
        <v>100</v>
      </c>
    </row>
    <row r="8" spans="1:19">
      <c r="A8" s="5" t="s">
        <v>226</v>
      </c>
      <c r="B8" s="5" t="s">
        <v>870</v>
      </c>
      <c r="C8" s="67">
        <v>1058494</v>
      </c>
      <c r="D8" s="70" t="s">
        <v>909</v>
      </c>
      <c r="E8" s="5" t="s">
        <v>908</v>
      </c>
      <c r="F8" s="5" t="s">
        <v>1148</v>
      </c>
      <c r="G8" s="5" t="s">
        <v>907</v>
      </c>
      <c r="H8" s="17">
        <f t="shared" si="0"/>
        <v>8.6956521739130432E-2</v>
      </c>
      <c r="I8" s="5">
        <f t="shared" si="1"/>
        <v>4</v>
      </c>
      <c r="J8" s="4">
        <v>50</v>
      </c>
      <c r="K8" s="4">
        <v>46</v>
      </c>
      <c r="L8" s="4">
        <v>51</v>
      </c>
      <c r="M8" s="4">
        <v>41</v>
      </c>
      <c r="N8" s="4">
        <v>23</v>
      </c>
      <c r="O8" s="4">
        <v>23</v>
      </c>
      <c r="P8" s="4">
        <v>23</v>
      </c>
      <c r="Q8" s="4">
        <v>25</v>
      </c>
      <c r="R8" s="4">
        <v>25</v>
      </c>
      <c r="S8" s="71">
        <v>40</v>
      </c>
    </row>
    <row r="9" spans="1:19">
      <c r="A9" s="5" t="s">
        <v>226</v>
      </c>
      <c r="B9" s="5" t="s">
        <v>870</v>
      </c>
      <c r="C9" s="67">
        <v>1058643</v>
      </c>
      <c r="D9" s="70" t="s">
        <v>75</v>
      </c>
      <c r="E9" s="5" t="s">
        <v>906</v>
      </c>
      <c r="F9" s="5" t="s">
        <v>1148</v>
      </c>
      <c r="G9" s="5" t="s">
        <v>905</v>
      </c>
      <c r="H9" s="58">
        <f t="shared" si="0"/>
        <v>0</v>
      </c>
      <c r="I9" s="59">
        <f t="shared" si="1"/>
        <v>0</v>
      </c>
      <c r="J9" s="4">
        <v>31</v>
      </c>
      <c r="K9" s="4">
        <v>31</v>
      </c>
      <c r="L9" s="4">
        <v>31</v>
      </c>
      <c r="M9" s="4">
        <v>30</v>
      </c>
      <c r="N9" s="4">
        <v>29</v>
      </c>
      <c r="O9" s="4">
        <v>29</v>
      </c>
      <c r="P9" s="4">
        <v>27</v>
      </c>
      <c r="Q9" s="4">
        <v>27</v>
      </c>
      <c r="R9" s="4">
        <v>26</v>
      </c>
      <c r="S9" s="71">
        <v>35</v>
      </c>
    </row>
    <row r="10" spans="1:19">
      <c r="A10" s="5" t="s">
        <v>226</v>
      </c>
      <c r="B10" s="5" t="s">
        <v>870</v>
      </c>
      <c r="C10" s="67">
        <v>1058718</v>
      </c>
      <c r="D10" s="70" t="s">
        <v>242</v>
      </c>
      <c r="E10" s="5" t="s">
        <v>870</v>
      </c>
      <c r="F10" s="5" t="s">
        <v>1147</v>
      </c>
      <c r="G10" s="5" t="s">
        <v>904</v>
      </c>
      <c r="H10" s="149">
        <f t="shared" si="0"/>
        <v>-0.12</v>
      </c>
      <c r="I10" s="150">
        <f t="shared" si="1"/>
        <v>-3</v>
      </c>
      <c r="J10" s="4">
        <v>22</v>
      </c>
      <c r="K10" s="4">
        <v>25</v>
      </c>
      <c r="L10" s="4">
        <v>30</v>
      </c>
      <c r="M10" s="4">
        <v>20</v>
      </c>
      <c r="N10" s="4">
        <v>20</v>
      </c>
      <c r="O10" s="4">
        <v>15</v>
      </c>
      <c r="P10" s="4">
        <v>15</v>
      </c>
      <c r="Q10" s="4">
        <v>17</v>
      </c>
      <c r="R10" s="4">
        <v>14</v>
      </c>
      <c r="S10" s="71">
        <v>20</v>
      </c>
    </row>
    <row r="11" spans="1:19">
      <c r="A11" s="5" t="s">
        <v>226</v>
      </c>
      <c r="B11" s="5" t="s">
        <v>870</v>
      </c>
      <c r="C11" s="67">
        <v>1058767</v>
      </c>
      <c r="D11" s="70" t="s">
        <v>333</v>
      </c>
      <c r="E11" s="5" t="s">
        <v>870</v>
      </c>
      <c r="F11" s="5" t="s">
        <v>1148</v>
      </c>
      <c r="G11" s="5" t="s">
        <v>903</v>
      </c>
      <c r="H11" s="58">
        <f t="shared" si="0"/>
        <v>0</v>
      </c>
      <c r="I11" s="59">
        <f t="shared" si="1"/>
        <v>0</v>
      </c>
      <c r="J11" s="148">
        <v>330</v>
      </c>
      <c r="K11" s="4">
        <v>330</v>
      </c>
      <c r="L11" s="4">
        <v>365</v>
      </c>
      <c r="M11" s="4">
        <v>320</v>
      </c>
      <c r="N11" s="4">
        <v>325</v>
      </c>
      <c r="O11" s="4">
        <v>315</v>
      </c>
      <c r="P11" s="4">
        <v>315</v>
      </c>
      <c r="Q11" s="4">
        <v>320</v>
      </c>
      <c r="R11" s="4">
        <v>320</v>
      </c>
      <c r="S11" s="71">
        <v>346</v>
      </c>
    </row>
    <row r="12" spans="1:19">
      <c r="A12" s="5" t="s">
        <v>226</v>
      </c>
      <c r="B12" s="5" t="s">
        <v>870</v>
      </c>
      <c r="C12" s="67">
        <v>1058783</v>
      </c>
      <c r="D12" s="70" t="s">
        <v>147</v>
      </c>
      <c r="E12" s="5" t="s">
        <v>881</v>
      </c>
      <c r="F12" s="5" t="s">
        <v>1148</v>
      </c>
      <c r="G12" s="5" t="s">
        <v>902</v>
      </c>
      <c r="H12" s="174">
        <f t="shared" si="0"/>
        <v>0.2</v>
      </c>
      <c r="I12" s="173">
        <f t="shared" si="1"/>
        <v>30</v>
      </c>
      <c r="J12" s="4">
        <v>180</v>
      </c>
      <c r="K12" s="4">
        <v>150</v>
      </c>
      <c r="L12" s="4">
        <v>170</v>
      </c>
      <c r="M12" s="4">
        <v>150</v>
      </c>
      <c r="N12" s="4">
        <v>76</v>
      </c>
      <c r="O12" s="4">
        <v>76</v>
      </c>
      <c r="P12" s="4">
        <v>76</v>
      </c>
      <c r="Q12" s="4">
        <v>80</v>
      </c>
      <c r="R12" s="4">
        <v>80</v>
      </c>
      <c r="S12" s="71">
        <v>90</v>
      </c>
    </row>
    <row r="13" spans="1:19">
      <c r="A13" s="5" t="s">
        <v>226</v>
      </c>
      <c r="B13" s="5" t="s">
        <v>870</v>
      </c>
      <c r="C13" s="67">
        <v>1058791</v>
      </c>
      <c r="D13" s="70" t="s">
        <v>901</v>
      </c>
      <c r="E13" s="5" t="s">
        <v>900</v>
      </c>
      <c r="F13" s="5" t="s">
        <v>1148</v>
      </c>
      <c r="G13" s="5" t="s">
        <v>899</v>
      </c>
      <c r="H13" s="58">
        <f t="shared" si="0"/>
        <v>0</v>
      </c>
      <c r="I13" s="59">
        <f t="shared" si="1"/>
        <v>0</v>
      </c>
      <c r="J13" s="4">
        <v>34</v>
      </c>
      <c r="K13" s="4">
        <v>34</v>
      </c>
      <c r="L13" s="4">
        <v>50</v>
      </c>
      <c r="M13" s="4">
        <v>50</v>
      </c>
      <c r="N13" s="4">
        <v>50</v>
      </c>
      <c r="O13" s="4">
        <v>27</v>
      </c>
      <c r="P13" s="4">
        <v>27</v>
      </c>
      <c r="Q13" s="4">
        <v>29</v>
      </c>
      <c r="R13" s="4">
        <v>29</v>
      </c>
      <c r="S13" s="71">
        <v>29</v>
      </c>
    </row>
    <row r="14" spans="1:19">
      <c r="A14" s="5" t="s">
        <v>226</v>
      </c>
      <c r="B14" s="5" t="s">
        <v>870</v>
      </c>
      <c r="C14" s="67">
        <v>1058353</v>
      </c>
      <c r="D14" s="70" t="s">
        <v>25</v>
      </c>
      <c r="E14" s="5" t="s">
        <v>898</v>
      </c>
      <c r="F14" s="5" t="s">
        <v>1148</v>
      </c>
      <c r="G14" s="5" t="s">
        <v>3</v>
      </c>
      <c r="H14" s="58">
        <f t="shared" si="0"/>
        <v>0</v>
      </c>
      <c r="I14" s="59">
        <f t="shared" si="1"/>
        <v>0</v>
      </c>
      <c r="J14" s="4">
        <v>150</v>
      </c>
      <c r="K14" s="4">
        <v>150</v>
      </c>
      <c r="L14" s="4">
        <v>150</v>
      </c>
      <c r="M14" s="4">
        <v>125</v>
      </c>
      <c r="N14" s="4">
        <v>75</v>
      </c>
      <c r="O14" s="4">
        <v>55</v>
      </c>
      <c r="P14" s="4">
        <v>140</v>
      </c>
      <c r="Q14" s="4">
        <v>125</v>
      </c>
      <c r="R14" s="4">
        <v>140</v>
      </c>
      <c r="S14" s="71">
        <v>110</v>
      </c>
    </row>
    <row r="15" spans="1:19">
      <c r="A15" s="5" t="s">
        <v>226</v>
      </c>
      <c r="B15" s="5" t="s">
        <v>870</v>
      </c>
      <c r="C15" s="67">
        <v>1058833</v>
      </c>
      <c r="D15" s="70" t="s">
        <v>25</v>
      </c>
      <c r="E15" s="5" t="s">
        <v>897</v>
      </c>
      <c r="F15" s="5" t="s">
        <v>1148</v>
      </c>
      <c r="G15" s="5" t="s">
        <v>896</v>
      </c>
      <c r="H15" s="58">
        <f t="shared" si="0"/>
        <v>0</v>
      </c>
      <c r="I15" s="59">
        <f t="shared" si="1"/>
        <v>0</v>
      </c>
      <c r="J15" s="4">
        <v>65</v>
      </c>
      <c r="K15" s="4">
        <v>65</v>
      </c>
      <c r="L15" s="4">
        <v>65</v>
      </c>
      <c r="M15" s="4">
        <v>75</v>
      </c>
      <c r="N15" s="4">
        <v>75</v>
      </c>
      <c r="O15" s="4">
        <v>75</v>
      </c>
      <c r="P15" s="4">
        <v>75</v>
      </c>
      <c r="Q15" s="4">
        <v>75</v>
      </c>
      <c r="R15" s="4">
        <v>75</v>
      </c>
      <c r="S15" s="71">
        <v>70</v>
      </c>
    </row>
    <row r="16" spans="1:19">
      <c r="A16" s="5" t="s">
        <v>226</v>
      </c>
      <c r="B16" s="5" t="s">
        <v>870</v>
      </c>
      <c r="C16" s="67">
        <v>1645712</v>
      </c>
      <c r="D16" s="70" t="s">
        <v>895</v>
      </c>
      <c r="E16" s="5" t="s">
        <v>883</v>
      </c>
      <c r="F16" s="5" t="s">
        <v>1148</v>
      </c>
      <c r="G16" s="5" t="s">
        <v>894</v>
      </c>
      <c r="H16" s="174">
        <f t="shared" si="0"/>
        <v>0.33333333333333331</v>
      </c>
      <c r="I16" s="173">
        <f t="shared" si="1"/>
        <v>25</v>
      </c>
      <c r="J16" s="4">
        <v>100</v>
      </c>
      <c r="K16" s="4">
        <v>75</v>
      </c>
      <c r="L16" s="4">
        <v>75</v>
      </c>
      <c r="M16" s="4">
        <v>75</v>
      </c>
      <c r="N16" s="4">
        <v>55</v>
      </c>
      <c r="O16" s="4">
        <v>55</v>
      </c>
      <c r="P16" s="4">
        <v>40</v>
      </c>
      <c r="Q16" s="4">
        <v>50</v>
      </c>
      <c r="R16" s="4">
        <v>50</v>
      </c>
      <c r="S16" s="71">
        <v>60</v>
      </c>
    </row>
    <row r="17" spans="1:19">
      <c r="A17" s="5" t="s">
        <v>226</v>
      </c>
      <c r="B17" s="5" t="s">
        <v>870</v>
      </c>
      <c r="C17" s="67">
        <v>1058858</v>
      </c>
      <c r="D17" s="70" t="s">
        <v>893</v>
      </c>
      <c r="E17" s="5" t="s">
        <v>892</v>
      </c>
      <c r="F17" s="5" t="s">
        <v>1148</v>
      </c>
      <c r="G17" s="5" t="s">
        <v>891</v>
      </c>
      <c r="H17" s="149">
        <f t="shared" si="0"/>
        <v>-7.1428571428571425E-2</v>
      </c>
      <c r="I17" s="150">
        <f t="shared" si="1"/>
        <v>-4</v>
      </c>
      <c r="J17" s="4">
        <v>52</v>
      </c>
      <c r="K17" s="4">
        <v>56</v>
      </c>
      <c r="L17" s="4">
        <v>56</v>
      </c>
      <c r="M17" s="4">
        <v>50</v>
      </c>
      <c r="N17" s="4">
        <v>49</v>
      </c>
      <c r="O17" s="4">
        <v>57</v>
      </c>
      <c r="P17" s="4">
        <v>55</v>
      </c>
      <c r="Q17" s="4">
        <v>46</v>
      </c>
      <c r="R17" s="4">
        <v>52</v>
      </c>
      <c r="S17" s="71">
        <v>41</v>
      </c>
    </row>
    <row r="18" spans="1:19">
      <c r="A18" s="5" t="s">
        <v>226</v>
      </c>
      <c r="B18" s="5" t="s">
        <v>870</v>
      </c>
      <c r="C18" s="67">
        <v>1059120</v>
      </c>
      <c r="D18" s="70" t="s">
        <v>890</v>
      </c>
      <c r="E18" s="5" t="s">
        <v>889</v>
      </c>
      <c r="F18" s="5" t="s">
        <v>1148</v>
      </c>
      <c r="G18" s="5" t="s">
        <v>888</v>
      </c>
      <c r="H18" s="174">
        <f t="shared" si="0"/>
        <v>0.16</v>
      </c>
      <c r="I18" s="173">
        <f t="shared" si="1"/>
        <v>8</v>
      </c>
      <c r="J18" s="4">
        <v>58</v>
      </c>
      <c r="K18" s="4">
        <v>50</v>
      </c>
      <c r="L18" s="4">
        <v>45</v>
      </c>
      <c r="M18" s="4">
        <v>45</v>
      </c>
      <c r="N18" s="4">
        <v>45</v>
      </c>
      <c r="O18" s="4">
        <v>44</v>
      </c>
      <c r="P18" s="4">
        <v>35</v>
      </c>
      <c r="Q18" s="4">
        <v>39</v>
      </c>
      <c r="R18" s="4">
        <v>50</v>
      </c>
      <c r="S18" s="71">
        <v>50</v>
      </c>
    </row>
    <row r="19" spans="1:19">
      <c r="A19" s="5" t="s">
        <v>226</v>
      </c>
      <c r="B19" s="5" t="s">
        <v>870</v>
      </c>
      <c r="C19" s="67">
        <v>1091883</v>
      </c>
      <c r="D19" s="70" t="s">
        <v>887</v>
      </c>
      <c r="E19" s="5" t="s">
        <v>886</v>
      </c>
      <c r="F19" s="5" t="s">
        <v>1148</v>
      </c>
      <c r="G19" s="5" t="s">
        <v>885</v>
      </c>
      <c r="H19" s="174">
        <f t="shared" si="0"/>
        <v>0.15116279069767441</v>
      </c>
      <c r="I19" s="173">
        <f t="shared" si="1"/>
        <v>13</v>
      </c>
      <c r="J19" s="4">
        <v>99</v>
      </c>
      <c r="K19" s="4">
        <v>86</v>
      </c>
      <c r="L19" s="4">
        <v>80</v>
      </c>
      <c r="M19" s="4">
        <v>90</v>
      </c>
      <c r="N19" s="4">
        <v>100</v>
      </c>
      <c r="O19" s="4">
        <v>101</v>
      </c>
      <c r="P19" s="4">
        <v>73</v>
      </c>
      <c r="Q19" s="4">
        <v>70</v>
      </c>
      <c r="R19" s="4">
        <v>70</v>
      </c>
      <c r="S19" s="71">
        <v>58</v>
      </c>
    </row>
    <row r="20" spans="1:19">
      <c r="A20" s="5" t="s">
        <v>226</v>
      </c>
      <c r="B20" s="5" t="s">
        <v>870</v>
      </c>
      <c r="C20" s="67">
        <v>1092238</v>
      </c>
      <c r="D20" s="70" t="s">
        <v>884</v>
      </c>
      <c r="E20" s="5" t="s">
        <v>883</v>
      </c>
      <c r="F20" s="5" t="s">
        <v>1148</v>
      </c>
      <c r="G20" s="5" t="s">
        <v>882</v>
      </c>
      <c r="H20" s="174">
        <f t="shared" si="0"/>
        <v>0.51515151515151514</v>
      </c>
      <c r="I20" s="173">
        <f t="shared" si="1"/>
        <v>17</v>
      </c>
      <c r="J20" s="4">
        <v>50</v>
      </c>
      <c r="K20" s="4">
        <v>33</v>
      </c>
      <c r="L20" s="4">
        <v>44</v>
      </c>
      <c r="M20" s="4">
        <v>52</v>
      </c>
      <c r="N20" s="4">
        <v>63</v>
      </c>
      <c r="O20" s="4">
        <v>60</v>
      </c>
      <c r="P20" s="4">
        <v>57</v>
      </c>
      <c r="Q20" s="4">
        <v>53</v>
      </c>
      <c r="R20" s="4">
        <v>48</v>
      </c>
      <c r="S20" s="71">
        <v>52</v>
      </c>
    </row>
    <row r="21" spans="1:19">
      <c r="A21" s="5" t="s">
        <v>226</v>
      </c>
      <c r="B21" s="5" t="s">
        <v>870</v>
      </c>
      <c r="C21" s="67">
        <v>1105816</v>
      </c>
      <c r="D21" s="70" t="s">
        <v>108</v>
      </c>
      <c r="E21" s="5" t="s">
        <v>881</v>
      </c>
      <c r="F21" s="5" t="s">
        <v>1148</v>
      </c>
      <c r="G21" s="5" t="s">
        <v>880</v>
      </c>
      <c r="H21" s="149">
        <f t="shared" si="0"/>
        <v>-0.1</v>
      </c>
      <c r="I21" s="150">
        <f t="shared" si="1"/>
        <v>-5</v>
      </c>
      <c r="J21" s="4">
        <v>45</v>
      </c>
      <c r="K21" s="4">
        <v>50</v>
      </c>
      <c r="L21" s="4">
        <v>50</v>
      </c>
      <c r="M21" s="4">
        <v>55</v>
      </c>
      <c r="N21" s="4">
        <v>50</v>
      </c>
      <c r="O21" s="4">
        <v>45</v>
      </c>
      <c r="P21" s="4">
        <v>35</v>
      </c>
      <c r="Q21" s="4">
        <v>50</v>
      </c>
      <c r="R21" s="4">
        <v>45</v>
      </c>
      <c r="S21" s="71">
        <v>45</v>
      </c>
    </row>
    <row r="22" spans="1:19">
      <c r="A22" s="5" t="s">
        <v>226</v>
      </c>
      <c r="B22" s="5" t="s">
        <v>870</v>
      </c>
      <c r="C22" s="67">
        <v>1106533</v>
      </c>
      <c r="D22" s="70" t="s">
        <v>879</v>
      </c>
      <c r="E22" s="5" t="s">
        <v>870</v>
      </c>
      <c r="F22" s="5" t="s">
        <v>1148</v>
      </c>
      <c r="G22" s="5" t="s">
        <v>878</v>
      </c>
      <c r="H22" s="149">
        <f t="shared" si="0"/>
        <v>-0.16666666666666666</v>
      </c>
      <c r="I22" s="150">
        <f t="shared" si="1"/>
        <v>-50</v>
      </c>
      <c r="J22" s="4">
        <v>250</v>
      </c>
      <c r="K22" s="4">
        <v>300</v>
      </c>
      <c r="L22" s="4">
        <v>300</v>
      </c>
      <c r="M22" s="4">
        <v>300</v>
      </c>
      <c r="N22" s="4">
        <v>300</v>
      </c>
      <c r="O22" s="4">
        <v>285</v>
      </c>
      <c r="P22" s="4">
        <v>290</v>
      </c>
      <c r="Q22" s="4">
        <v>257</v>
      </c>
      <c r="R22" s="4">
        <v>271</v>
      </c>
      <c r="S22" s="71">
        <v>325</v>
      </c>
    </row>
    <row r="23" spans="1:19">
      <c r="A23" s="5" t="s">
        <v>226</v>
      </c>
      <c r="B23" s="5" t="s">
        <v>870</v>
      </c>
      <c r="C23" s="67">
        <v>1211705</v>
      </c>
      <c r="D23" s="70" t="s">
        <v>877</v>
      </c>
      <c r="E23" s="5" t="s">
        <v>876</v>
      </c>
      <c r="F23" s="5" t="s">
        <v>1148</v>
      </c>
      <c r="G23" s="5" t="s">
        <v>875</v>
      </c>
      <c r="H23" s="58">
        <f t="shared" si="0"/>
        <v>0</v>
      </c>
      <c r="I23" s="59">
        <f t="shared" si="1"/>
        <v>0</v>
      </c>
      <c r="J23" s="4">
        <v>65</v>
      </c>
      <c r="K23" s="4">
        <v>65</v>
      </c>
      <c r="L23" s="4">
        <v>65</v>
      </c>
      <c r="M23" s="4">
        <v>68</v>
      </c>
      <c r="N23" s="4">
        <v>50</v>
      </c>
      <c r="O23" s="4">
        <v>60</v>
      </c>
      <c r="P23" s="4">
        <v>65</v>
      </c>
      <c r="Q23" s="49"/>
      <c r="R23" s="49"/>
      <c r="S23" s="50"/>
    </row>
    <row r="24" spans="1:19">
      <c r="A24" s="5" t="s">
        <v>226</v>
      </c>
      <c r="B24" s="5" t="s">
        <v>870</v>
      </c>
      <c r="C24" s="67">
        <v>1559848</v>
      </c>
      <c r="D24" s="70" t="s">
        <v>25</v>
      </c>
      <c r="E24" s="5" t="s">
        <v>874</v>
      </c>
      <c r="F24" s="5" t="s">
        <v>1147</v>
      </c>
      <c r="G24" s="5" t="s">
        <v>873</v>
      </c>
      <c r="H24" s="17">
        <f t="shared" si="0"/>
        <v>7.6923076923076927E-2</v>
      </c>
      <c r="I24" s="5">
        <f t="shared" si="1"/>
        <v>1</v>
      </c>
      <c r="J24" s="4">
        <v>14</v>
      </c>
      <c r="K24" s="4">
        <v>13</v>
      </c>
      <c r="L24" s="4">
        <v>15</v>
      </c>
      <c r="M24" s="4">
        <v>14</v>
      </c>
      <c r="N24" s="4">
        <v>14</v>
      </c>
      <c r="O24" s="4">
        <v>14</v>
      </c>
      <c r="P24" s="4">
        <v>14</v>
      </c>
      <c r="Q24" s="4">
        <v>19</v>
      </c>
      <c r="R24" s="4">
        <v>19</v>
      </c>
      <c r="S24" s="71">
        <v>17</v>
      </c>
    </row>
    <row r="25" spans="1:19">
      <c r="A25" s="5" t="s">
        <v>226</v>
      </c>
      <c r="B25" s="5" t="s">
        <v>870</v>
      </c>
      <c r="C25" s="67">
        <v>1586932</v>
      </c>
      <c r="D25" s="70" t="s">
        <v>25</v>
      </c>
      <c r="E25" s="5" t="s">
        <v>872</v>
      </c>
      <c r="F25" s="5" t="s">
        <v>1147</v>
      </c>
      <c r="G25" s="5" t="s">
        <v>871</v>
      </c>
      <c r="H25" s="147">
        <f t="shared" si="0"/>
        <v>0.59090909090909094</v>
      </c>
      <c r="I25" s="173">
        <f t="shared" si="1"/>
        <v>13</v>
      </c>
      <c r="J25" s="4">
        <v>35</v>
      </c>
      <c r="K25" s="4">
        <v>22</v>
      </c>
      <c r="L25" s="4">
        <v>20</v>
      </c>
      <c r="M25" s="4">
        <v>20</v>
      </c>
      <c r="N25" s="4">
        <v>27</v>
      </c>
      <c r="O25" s="4">
        <v>27</v>
      </c>
      <c r="P25" s="4">
        <v>30</v>
      </c>
      <c r="Q25" s="4">
        <v>35</v>
      </c>
      <c r="R25" s="4">
        <v>38</v>
      </c>
      <c r="S25" s="71">
        <v>36</v>
      </c>
    </row>
    <row r="26" spans="1:19">
      <c r="A26" s="5" t="s">
        <v>226</v>
      </c>
      <c r="B26" s="5" t="s">
        <v>870</v>
      </c>
      <c r="C26" s="67">
        <v>1058825</v>
      </c>
      <c r="D26" s="70" t="s">
        <v>1175</v>
      </c>
      <c r="E26" s="5" t="s">
        <v>869</v>
      </c>
      <c r="F26" s="5" t="s">
        <v>1148</v>
      </c>
      <c r="G26" s="5" t="s">
        <v>868</v>
      </c>
      <c r="H26" s="149">
        <f t="shared" si="0"/>
        <v>-0.1111111111111111</v>
      </c>
      <c r="I26" s="150">
        <f t="shared" si="1"/>
        <v>-5</v>
      </c>
      <c r="J26" s="54">
        <v>40</v>
      </c>
      <c r="K26" s="54">
        <v>45</v>
      </c>
      <c r="L26" s="54">
        <v>45</v>
      </c>
      <c r="M26" s="54">
        <v>45</v>
      </c>
      <c r="N26" s="54">
        <v>45</v>
      </c>
      <c r="O26" s="54">
        <v>45</v>
      </c>
      <c r="P26" s="54">
        <v>45</v>
      </c>
      <c r="Q26" s="54">
        <v>45</v>
      </c>
      <c r="R26" s="54">
        <v>35</v>
      </c>
      <c r="S26" s="145">
        <v>35</v>
      </c>
    </row>
    <row r="27" spans="1:19" ht="15" thickBot="1">
      <c r="D27" s="72" t="str">
        <f>"Church Count: "&amp;COUNTA(D5:D26)</f>
        <v>Church Count: 22</v>
      </c>
      <c r="E27" s="49"/>
      <c r="F27" s="49"/>
      <c r="G27" s="151" t="s">
        <v>1207</v>
      </c>
      <c r="H27" s="49"/>
      <c r="I27" s="49"/>
      <c r="J27" s="197">
        <f t="shared" ref="J27:S27" si="2">SUM(J5:J26)</f>
        <v>1793</v>
      </c>
      <c r="K27" s="197">
        <f t="shared" si="2"/>
        <v>1751</v>
      </c>
      <c r="L27" s="197">
        <f t="shared" si="2"/>
        <v>1832</v>
      </c>
      <c r="M27" s="197">
        <f t="shared" si="2"/>
        <v>1755</v>
      </c>
      <c r="N27" s="197">
        <f t="shared" si="2"/>
        <v>1594</v>
      </c>
      <c r="O27" s="197">
        <f t="shared" si="2"/>
        <v>1531</v>
      </c>
      <c r="P27" s="197">
        <f t="shared" si="2"/>
        <v>1562</v>
      </c>
      <c r="Q27" s="197">
        <f t="shared" si="2"/>
        <v>1513</v>
      </c>
      <c r="R27" s="197">
        <f t="shared" si="2"/>
        <v>1537</v>
      </c>
      <c r="S27" s="198">
        <f t="shared" si="2"/>
        <v>1666</v>
      </c>
    </row>
    <row r="28" spans="1:19" ht="15" thickTop="1">
      <c r="D28" s="152" t="s">
        <v>1180</v>
      </c>
      <c r="E28" s="49"/>
      <c r="F28" s="49"/>
      <c r="G28" s="151" t="s">
        <v>1208</v>
      </c>
      <c r="H28" s="49"/>
      <c r="I28" s="49"/>
      <c r="J28" s="49">
        <f>J27-K27</f>
        <v>42</v>
      </c>
      <c r="K28" s="49"/>
      <c r="L28" s="49"/>
      <c r="M28" s="49"/>
      <c r="N28" s="49"/>
      <c r="O28" s="49"/>
      <c r="P28" s="49"/>
      <c r="Q28" s="49"/>
      <c r="R28" s="49"/>
      <c r="S28" s="50"/>
    </row>
    <row r="29" spans="1:19">
      <c r="D29" s="153" t="s">
        <v>1181</v>
      </c>
      <c r="E29" s="146"/>
      <c r="F29" s="146"/>
      <c r="G29" s="151" t="s">
        <v>1209</v>
      </c>
      <c r="H29" s="49"/>
      <c r="I29" s="49"/>
      <c r="J29" s="169">
        <f>(J27-K27)/ABS(K27)</f>
        <v>2.3986293546544833E-2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70" t="s">
        <v>1210</v>
      </c>
      <c r="E30" s="49"/>
      <c r="F30" s="49"/>
      <c r="G30" s="218" t="s">
        <v>1219</v>
      </c>
      <c r="H30" s="49"/>
      <c r="I30" s="49"/>
      <c r="J30" s="222">
        <f>J27-S27</f>
        <v>127</v>
      </c>
      <c r="K30" s="49"/>
      <c r="L30" s="49"/>
      <c r="M30" s="49"/>
      <c r="N30" s="49"/>
      <c r="O30" s="49"/>
      <c r="P30" s="49"/>
      <c r="Q30" s="49"/>
      <c r="R30" s="49"/>
      <c r="S30" s="50"/>
    </row>
    <row r="31" spans="1:19">
      <c r="D31" s="154" t="s">
        <v>1182</v>
      </c>
      <c r="E31" s="51"/>
      <c r="F31" s="51"/>
      <c r="G31" s="186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2"/>
    </row>
  </sheetData>
  <mergeCells count="1">
    <mergeCell ref="D1:S1"/>
  </mergeCells>
  <printOptions horizontalCentered="1"/>
  <pageMargins left="0.7" right="0.7" top="0.75" bottom="0.75" header="0.3" footer="0.3"/>
  <pageSetup scale="72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 enableFormatConditionsCalculation="0">
    <pageSetUpPr fitToPage="1"/>
  </sheetPr>
  <dimension ref="A1:S30"/>
  <sheetViews>
    <sheetView topLeftCell="D1" workbookViewId="0">
      <selection activeCell="J29" sqref="J29"/>
    </sheetView>
  </sheetViews>
  <sheetFormatPr baseColWidth="10" defaultColWidth="8.83203125" defaultRowHeight="14" x14ac:dyDescent="0"/>
  <cols>
    <col min="1" max="1" width="10.1640625" style="3" hidden="1" customWidth="1"/>
    <col min="2" max="2" width="12.6640625" style="3" hidden="1" customWidth="1"/>
    <col min="3" max="3" width="8.1640625" style="3" hidden="1" customWidth="1"/>
    <col min="4" max="4" width="37.5" style="3" customWidth="1"/>
    <col min="5" max="5" width="17.5" style="3" bestFit="1" customWidth="1"/>
    <col min="6" max="6" width="10" style="3" bestFit="1" customWidth="1"/>
    <col min="7" max="7" width="24.33203125" style="3" bestFit="1" customWidth="1"/>
    <col min="8" max="8" width="7.83203125" style="3" bestFit="1" customWidth="1"/>
    <col min="9" max="9" width="7.5" style="3" bestFit="1" customWidth="1"/>
    <col min="10" max="19" width="8.5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East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Trinity Valley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321</v>
      </c>
      <c r="B5" s="5" t="s">
        <v>918</v>
      </c>
      <c r="C5" s="67">
        <v>1059575</v>
      </c>
      <c r="D5" s="70" t="s">
        <v>959</v>
      </c>
      <c r="E5" s="5" t="s">
        <v>938</v>
      </c>
      <c r="F5" s="5" t="s">
        <v>1148</v>
      </c>
      <c r="G5" s="5" t="s">
        <v>3</v>
      </c>
      <c r="H5" s="149">
        <f>(J5-K5)/ABS(K5)</f>
        <v>-0.5</v>
      </c>
      <c r="I5" s="150">
        <f>J5-K5</f>
        <v>-40</v>
      </c>
      <c r="J5" s="4">
        <v>40</v>
      </c>
      <c r="K5" s="4">
        <v>80</v>
      </c>
      <c r="L5" s="4">
        <v>55</v>
      </c>
      <c r="M5" s="4">
        <v>66</v>
      </c>
      <c r="N5" s="4">
        <v>65</v>
      </c>
      <c r="O5" s="4">
        <v>65</v>
      </c>
      <c r="P5" s="4">
        <v>65</v>
      </c>
      <c r="Q5" s="4">
        <v>59</v>
      </c>
      <c r="R5" s="4">
        <v>59</v>
      </c>
      <c r="S5" s="71">
        <v>62</v>
      </c>
    </row>
    <row r="6" spans="1:19">
      <c r="A6" s="5" t="s">
        <v>321</v>
      </c>
      <c r="B6" s="5" t="s">
        <v>918</v>
      </c>
      <c r="C6" s="67">
        <v>1057512</v>
      </c>
      <c r="D6" s="70" t="s">
        <v>958</v>
      </c>
      <c r="E6" s="5" t="s">
        <v>944</v>
      </c>
      <c r="F6" s="5" t="s">
        <v>1148</v>
      </c>
      <c r="G6" s="5" t="s">
        <v>957</v>
      </c>
      <c r="H6" s="58">
        <f t="shared" ref="H6:H25" si="0">(J6-K6)/ABS(K6)</f>
        <v>0</v>
      </c>
      <c r="I6" s="59">
        <f t="shared" ref="I6:I25" si="1">J6-K6</f>
        <v>0</v>
      </c>
      <c r="J6" s="4">
        <v>30</v>
      </c>
      <c r="K6" s="4">
        <v>30</v>
      </c>
      <c r="L6" s="4">
        <v>50</v>
      </c>
      <c r="M6" s="4">
        <v>50</v>
      </c>
      <c r="N6" s="4">
        <v>65</v>
      </c>
      <c r="O6" s="4">
        <v>68</v>
      </c>
      <c r="P6" s="4">
        <v>75</v>
      </c>
      <c r="Q6" s="4">
        <v>65</v>
      </c>
      <c r="R6" s="4">
        <v>65</v>
      </c>
      <c r="S6" s="71">
        <v>75</v>
      </c>
    </row>
    <row r="7" spans="1:19">
      <c r="A7" s="5" t="s">
        <v>321</v>
      </c>
      <c r="B7" s="5" t="s">
        <v>918</v>
      </c>
      <c r="C7" s="67">
        <v>1057520</v>
      </c>
      <c r="D7" s="70" t="s">
        <v>956</v>
      </c>
      <c r="E7" s="5" t="s">
        <v>955</v>
      </c>
      <c r="F7" s="5" t="s">
        <v>1148</v>
      </c>
      <c r="G7" s="5" t="s">
        <v>954</v>
      </c>
      <c r="H7" s="149">
        <f t="shared" si="0"/>
        <v>-0.10112359550561797</v>
      </c>
      <c r="I7" s="150">
        <f t="shared" si="1"/>
        <v>-9</v>
      </c>
      <c r="J7" s="4">
        <v>80</v>
      </c>
      <c r="K7" s="4">
        <v>89</v>
      </c>
      <c r="L7" s="4">
        <v>92</v>
      </c>
      <c r="M7" s="4">
        <v>97</v>
      </c>
      <c r="N7" s="4">
        <v>85</v>
      </c>
      <c r="O7" s="4">
        <v>65</v>
      </c>
      <c r="P7" s="4">
        <v>24</v>
      </c>
      <c r="Q7" s="4">
        <v>72</v>
      </c>
      <c r="R7" s="4">
        <v>105</v>
      </c>
      <c r="S7" s="71">
        <v>115</v>
      </c>
    </row>
    <row r="8" spans="1:19">
      <c r="A8" s="5" t="s">
        <v>321</v>
      </c>
      <c r="B8" s="5" t="s">
        <v>918</v>
      </c>
      <c r="C8" s="67">
        <v>1057637</v>
      </c>
      <c r="D8" s="70" t="s">
        <v>953</v>
      </c>
      <c r="E8" s="5" t="s">
        <v>952</v>
      </c>
      <c r="F8" s="5" t="s">
        <v>1148</v>
      </c>
      <c r="G8" s="5" t="s">
        <v>951</v>
      </c>
      <c r="H8" s="58">
        <f t="shared" si="0"/>
        <v>0</v>
      </c>
      <c r="I8" s="59">
        <f t="shared" si="1"/>
        <v>0</v>
      </c>
      <c r="J8" s="4">
        <v>25</v>
      </c>
      <c r="K8" s="4">
        <v>25</v>
      </c>
      <c r="L8" s="4">
        <v>30</v>
      </c>
      <c r="M8" s="4">
        <v>30</v>
      </c>
      <c r="N8" s="4">
        <v>47</v>
      </c>
      <c r="O8" s="4">
        <v>47</v>
      </c>
      <c r="P8" s="4">
        <v>49</v>
      </c>
      <c r="Q8" s="4">
        <v>43</v>
      </c>
      <c r="R8" s="4">
        <v>32</v>
      </c>
      <c r="S8" s="71">
        <v>30</v>
      </c>
    </row>
    <row r="9" spans="1:19">
      <c r="A9" s="5" t="s">
        <v>321</v>
      </c>
      <c r="B9" s="5" t="s">
        <v>918</v>
      </c>
      <c r="C9" s="67">
        <v>1059278</v>
      </c>
      <c r="D9" s="70" t="s">
        <v>25</v>
      </c>
      <c r="E9" s="5" t="s">
        <v>920</v>
      </c>
      <c r="F9" s="5" t="s">
        <v>1148</v>
      </c>
      <c r="G9" s="5" t="s">
        <v>950</v>
      </c>
      <c r="H9" s="17">
        <f t="shared" si="0"/>
        <v>3.0769230769230771E-2</v>
      </c>
      <c r="I9" s="5">
        <f t="shared" si="1"/>
        <v>2</v>
      </c>
      <c r="J9" s="4">
        <v>67</v>
      </c>
      <c r="K9" s="4">
        <v>65</v>
      </c>
      <c r="L9" s="4">
        <v>65</v>
      </c>
      <c r="M9" s="4">
        <v>70</v>
      </c>
      <c r="N9" s="4">
        <v>70</v>
      </c>
      <c r="O9" s="4">
        <v>71</v>
      </c>
      <c r="P9" s="4">
        <v>68</v>
      </c>
      <c r="Q9" s="4">
        <v>68</v>
      </c>
      <c r="R9" s="4">
        <v>60</v>
      </c>
      <c r="S9" s="71">
        <v>56</v>
      </c>
    </row>
    <row r="10" spans="1:19">
      <c r="A10" s="5" t="s">
        <v>321</v>
      </c>
      <c r="B10" s="5" t="s">
        <v>918</v>
      </c>
      <c r="C10" s="67">
        <v>1059286</v>
      </c>
      <c r="D10" s="70" t="s">
        <v>949</v>
      </c>
      <c r="E10" s="5" t="s">
        <v>920</v>
      </c>
      <c r="F10" s="5" t="s">
        <v>1148</v>
      </c>
      <c r="G10" s="5" t="s">
        <v>3</v>
      </c>
      <c r="H10" s="174">
        <f t="shared" si="0"/>
        <v>0.13636363636363635</v>
      </c>
      <c r="I10" s="173">
        <f t="shared" si="1"/>
        <v>3</v>
      </c>
      <c r="J10" s="4">
        <v>25</v>
      </c>
      <c r="K10" s="4">
        <v>22</v>
      </c>
      <c r="L10" s="4">
        <v>22</v>
      </c>
      <c r="M10" s="4">
        <v>31</v>
      </c>
      <c r="N10" s="4">
        <v>25</v>
      </c>
      <c r="O10" s="4">
        <v>25</v>
      </c>
      <c r="P10" s="4">
        <v>27</v>
      </c>
      <c r="Q10" s="4">
        <v>26</v>
      </c>
      <c r="R10" s="4">
        <v>33</v>
      </c>
      <c r="S10" s="71">
        <v>40</v>
      </c>
    </row>
    <row r="11" spans="1:19">
      <c r="A11" s="5" t="s">
        <v>321</v>
      </c>
      <c r="B11" s="5" t="s">
        <v>918</v>
      </c>
      <c r="C11" s="67">
        <v>1059310</v>
      </c>
      <c r="D11" s="70" t="s">
        <v>25</v>
      </c>
      <c r="E11" s="5" t="s">
        <v>948</v>
      </c>
      <c r="F11" s="5" t="s">
        <v>1148</v>
      </c>
      <c r="G11" s="5" t="s">
        <v>947</v>
      </c>
      <c r="H11" s="58">
        <f t="shared" si="0"/>
        <v>0</v>
      </c>
      <c r="I11" s="59">
        <f t="shared" si="1"/>
        <v>0</v>
      </c>
      <c r="J11" s="4">
        <v>65</v>
      </c>
      <c r="K11" s="4">
        <v>65</v>
      </c>
      <c r="L11" s="4">
        <v>60</v>
      </c>
      <c r="M11" s="4">
        <v>70</v>
      </c>
      <c r="N11" s="4">
        <v>100</v>
      </c>
      <c r="O11" s="4">
        <v>90</v>
      </c>
      <c r="P11" s="4">
        <v>100</v>
      </c>
      <c r="Q11" s="4">
        <v>78</v>
      </c>
      <c r="R11" s="4">
        <v>80</v>
      </c>
      <c r="S11" s="71">
        <v>95</v>
      </c>
    </row>
    <row r="12" spans="1:19">
      <c r="A12" s="5" t="s">
        <v>321</v>
      </c>
      <c r="B12" s="5" t="s">
        <v>918</v>
      </c>
      <c r="C12" s="67">
        <v>1059328</v>
      </c>
      <c r="D12" s="70" t="s">
        <v>25</v>
      </c>
      <c r="E12" s="5" t="s">
        <v>946</v>
      </c>
      <c r="F12" s="5" t="s">
        <v>1148</v>
      </c>
      <c r="G12" s="5" t="s">
        <v>3</v>
      </c>
      <c r="H12" s="149">
        <f t="shared" si="0"/>
        <v>-0.14285714285714285</v>
      </c>
      <c r="I12" s="150">
        <f t="shared" si="1"/>
        <v>-10</v>
      </c>
      <c r="J12" s="4">
        <v>60</v>
      </c>
      <c r="K12" s="4">
        <v>70</v>
      </c>
      <c r="L12" s="4">
        <v>65</v>
      </c>
      <c r="M12" s="4">
        <v>78</v>
      </c>
      <c r="N12" s="4">
        <v>50</v>
      </c>
      <c r="O12" s="4">
        <v>50</v>
      </c>
      <c r="P12" s="4">
        <v>50</v>
      </c>
      <c r="Q12" s="4">
        <v>25</v>
      </c>
      <c r="R12" s="4">
        <v>25</v>
      </c>
      <c r="S12" s="71">
        <v>42</v>
      </c>
    </row>
    <row r="13" spans="1:19">
      <c r="A13" s="5" t="s">
        <v>321</v>
      </c>
      <c r="B13" s="5" t="s">
        <v>918</v>
      </c>
      <c r="C13" s="67">
        <v>1059344</v>
      </c>
      <c r="D13" s="70" t="s">
        <v>25</v>
      </c>
      <c r="E13" s="5" t="s">
        <v>931</v>
      </c>
      <c r="F13" s="5" t="s">
        <v>1148</v>
      </c>
      <c r="G13" s="5" t="s">
        <v>945</v>
      </c>
      <c r="H13" s="149">
        <f t="shared" si="0"/>
        <v>-0.2</v>
      </c>
      <c r="I13" s="150">
        <f t="shared" si="1"/>
        <v>-50</v>
      </c>
      <c r="J13" s="148">
        <v>200</v>
      </c>
      <c r="K13" s="4">
        <v>250</v>
      </c>
      <c r="L13" s="4">
        <v>200</v>
      </c>
      <c r="M13" s="4">
        <v>225</v>
      </c>
      <c r="N13" s="4">
        <v>215</v>
      </c>
      <c r="O13" s="4">
        <v>225</v>
      </c>
      <c r="P13" s="4">
        <v>245</v>
      </c>
      <c r="Q13" s="4">
        <v>265</v>
      </c>
      <c r="R13" s="4">
        <v>255</v>
      </c>
      <c r="S13" s="71">
        <v>260</v>
      </c>
    </row>
    <row r="14" spans="1:19">
      <c r="A14" s="5" t="s">
        <v>321</v>
      </c>
      <c r="B14" s="5" t="s">
        <v>918</v>
      </c>
      <c r="C14" s="67">
        <v>1057504</v>
      </c>
      <c r="D14" s="70" t="s">
        <v>25</v>
      </c>
      <c r="E14" s="5" t="s">
        <v>944</v>
      </c>
      <c r="F14" s="5" t="s">
        <v>1148</v>
      </c>
      <c r="G14" s="5" t="s">
        <v>943</v>
      </c>
      <c r="H14" s="58">
        <f t="shared" si="0"/>
        <v>0</v>
      </c>
      <c r="I14" s="59">
        <f t="shared" si="1"/>
        <v>0</v>
      </c>
      <c r="J14" s="4">
        <v>38</v>
      </c>
      <c r="K14" s="4">
        <v>38</v>
      </c>
      <c r="L14" s="4">
        <v>68</v>
      </c>
      <c r="M14" s="4">
        <v>41</v>
      </c>
      <c r="N14" s="4">
        <v>48</v>
      </c>
      <c r="O14" s="4">
        <v>50</v>
      </c>
      <c r="P14" s="4">
        <v>60</v>
      </c>
      <c r="Q14" s="4">
        <v>60</v>
      </c>
      <c r="R14" s="4">
        <v>60</v>
      </c>
      <c r="S14" s="71">
        <v>60</v>
      </c>
    </row>
    <row r="15" spans="1:19">
      <c r="A15" s="5" t="s">
        <v>321</v>
      </c>
      <c r="B15" s="5" t="s">
        <v>918</v>
      </c>
      <c r="C15" s="67">
        <v>1059468</v>
      </c>
      <c r="D15" s="70" t="s">
        <v>942</v>
      </c>
      <c r="E15" s="5" t="s">
        <v>940</v>
      </c>
      <c r="F15" s="5" t="s">
        <v>1148</v>
      </c>
      <c r="G15" s="5" t="s">
        <v>3</v>
      </c>
      <c r="H15" s="174">
        <f t="shared" si="0"/>
        <v>0.17499999999999999</v>
      </c>
      <c r="I15" s="173">
        <f t="shared" si="1"/>
        <v>7</v>
      </c>
      <c r="J15" s="4">
        <v>47</v>
      </c>
      <c r="K15" s="4">
        <v>40</v>
      </c>
      <c r="L15" s="4">
        <v>30</v>
      </c>
      <c r="M15" s="4">
        <v>35</v>
      </c>
      <c r="N15" s="4">
        <v>50</v>
      </c>
      <c r="O15" s="4">
        <v>55</v>
      </c>
      <c r="P15" s="4">
        <v>50</v>
      </c>
      <c r="Q15" s="4">
        <v>50</v>
      </c>
      <c r="R15" s="4">
        <v>50</v>
      </c>
      <c r="S15" s="71">
        <v>50</v>
      </c>
    </row>
    <row r="16" spans="1:19">
      <c r="A16" s="5" t="s">
        <v>321</v>
      </c>
      <c r="B16" s="5" t="s">
        <v>918</v>
      </c>
      <c r="C16" s="67">
        <v>1972173</v>
      </c>
      <c r="D16" s="70" t="s">
        <v>941</v>
      </c>
      <c r="E16" s="5" t="s">
        <v>940</v>
      </c>
      <c r="F16" s="5" t="s">
        <v>1148</v>
      </c>
      <c r="G16" s="5" t="s">
        <v>939</v>
      </c>
      <c r="H16" s="149">
        <f t="shared" si="0"/>
        <v>-0.11764705882352941</v>
      </c>
      <c r="I16" s="150">
        <f t="shared" si="1"/>
        <v>-10</v>
      </c>
      <c r="J16" s="4">
        <v>75</v>
      </c>
      <c r="K16" s="4">
        <v>85</v>
      </c>
      <c r="L16" s="4">
        <v>75</v>
      </c>
      <c r="M16" s="4">
        <v>50</v>
      </c>
      <c r="N16" s="4">
        <v>90</v>
      </c>
      <c r="O16" s="4">
        <v>85</v>
      </c>
      <c r="P16" s="4">
        <v>75</v>
      </c>
      <c r="Q16" s="4">
        <v>90</v>
      </c>
      <c r="R16" s="4">
        <v>95</v>
      </c>
      <c r="S16" s="71">
        <v>75</v>
      </c>
    </row>
    <row r="17" spans="1:19">
      <c r="A17" s="5" t="s">
        <v>321</v>
      </c>
      <c r="B17" s="5" t="s">
        <v>918</v>
      </c>
      <c r="C17" s="67">
        <v>1059591</v>
      </c>
      <c r="D17" s="70" t="s">
        <v>1176</v>
      </c>
      <c r="E17" s="5" t="s">
        <v>938</v>
      </c>
      <c r="F17" s="5" t="s">
        <v>1148</v>
      </c>
      <c r="G17" s="5" t="s">
        <v>937</v>
      </c>
      <c r="H17" s="58">
        <f t="shared" si="0"/>
        <v>0</v>
      </c>
      <c r="I17" s="59">
        <f t="shared" si="1"/>
        <v>0</v>
      </c>
      <c r="J17" s="4">
        <v>50</v>
      </c>
      <c r="K17" s="4">
        <v>50</v>
      </c>
      <c r="L17" s="4">
        <v>55</v>
      </c>
      <c r="M17" s="4">
        <v>55</v>
      </c>
      <c r="N17" s="4">
        <v>60</v>
      </c>
      <c r="O17" s="4">
        <v>60</v>
      </c>
      <c r="P17" s="4">
        <v>96</v>
      </c>
      <c r="Q17" s="4">
        <v>70</v>
      </c>
      <c r="R17" s="4">
        <v>75</v>
      </c>
      <c r="S17" s="71">
        <v>53</v>
      </c>
    </row>
    <row r="18" spans="1:19">
      <c r="A18" s="5" t="s">
        <v>321</v>
      </c>
      <c r="B18" s="5" t="s">
        <v>918</v>
      </c>
      <c r="C18" s="67">
        <v>1059625</v>
      </c>
      <c r="D18" s="70" t="s">
        <v>901</v>
      </c>
      <c r="E18" s="5" t="s">
        <v>936</v>
      </c>
      <c r="F18" s="5" t="s">
        <v>1147</v>
      </c>
      <c r="G18" s="5" t="s">
        <v>935</v>
      </c>
      <c r="H18" s="149">
        <f t="shared" si="0"/>
        <v>-3.7037037037037035E-2</v>
      </c>
      <c r="I18" s="150">
        <f t="shared" si="1"/>
        <v>-1</v>
      </c>
      <c r="J18" s="4">
        <v>26</v>
      </c>
      <c r="K18" s="4">
        <v>27</v>
      </c>
      <c r="L18" s="4">
        <v>26</v>
      </c>
      <c r="M18" s="4">
        <v>22</v>
      </c>
      <c r="N18" s="4">
        <v>22</v>
      </c>
      <c r="O18" s="4">
        <v>30</v>
      </c>
      <c r="P18" s="4">
        <v>37</v>
      </c>
      <c r="Q18" s="4">
        <v>54</v>
      </c>
      <c r="R18" s="4">
        <v>54</v>
      </c>
      <c r="S18" s="71">
        <v>41</v>
      </c>
    </row>
    <row r="19" spans="1:19">
      <c r="A19" s="5" t="s">
        <v>321</v>
      </c>
      <c r="B19" s="5" t="s">
        <v>918</v>
      </c>
      <c r="C19" s="67">
        <v>1078575</v>
      </c>
      <c r="D19" s="70" t="s">
        <v>25</v>
      </c>
      <c r="E19" s="5" t="s">
        <v>934</v>
      </c>
      <c r="F19" s="5" t="s">
        <v>1148</v>
      </c>
      <c r="G19" s="5" t="s">
        <v>933</v>
      </c>
      <c r="H19" s="174">
        <f t="shared" si="0"/>
        <v>0.15789473684210525</v>
      </c>
      <c r="I19" s="173">
        <f t="shared" si="1"/>
        <v>3</v>
      </c>
      <c r="J19" s="4">
        <v>22</v>
      </c>
      <c r="K19" s="4">
        <v>19</v>
      </c>
      <c r="L19" s="4">
        <v>18</v>
      </c>
      <c r="M19" s="4">
        <v>20</v>
      </c>
      <c r="N19" s="4">
        <v>17</v>
      </c>
      <c r="O19" s="4">
        <v>19</v>
      </c>
      <c r="P19" s="4">
        <v>21</v>
      </c>
      <c r="Q19" s="4">
        <v>22</v>
      </c>
      <c r="R19" s="4">
        <v>20</v>
      </c>
      <c r="S19" s="71">
        <v>21</v>
      </c>
    </row>
    <row r="20" spans="1:19">
      <c r="A20" s="5" t="s">
        <v>321</v>
      </c>
      <c r="B20" s="5" t="s">
        <v>918</v>
      </c>
      <c r="C20" s="67">
        <v>1084466</v>
      </c>
      <c r="D20" s="70" t="s">
        <v>932</v>
      </c>
      <c r="E20" s="5" t="s">
        <v>931</v>
      </c>
      <c r="F20" s="5" t="s">
        <v>1148</v>
      </c>
      <c r="G20" s="5" t="s">
        <v>930</v>
      </c>
      <c r="H20" s="58">
        <f t="shared" si="0"/>
        <v>0</v>
      </c>
      <c r="I20" s="59">
        <f t="shared" si="1"/>
        <v>0</v>
      </c>
      <c r="J20" s="4">
        <v>40</v>
      </c>
      <c r="K20" s="4">
        <v>40</v>
      </c>
      <c r="L20" s="4">
        <v>40</v>
      </c>
      <c r="M20" s="4">
        <v>40</v>
      </c>
      <c r="N20" s="4">
        <v>52</v>
      </c>
      <c r="O20" s="4">
        <v>52</v>
      </c>
      <c r="P20" s="4">
        <v>50</v>
      </c>
      <c r="Q20" s="4">
        <v>50</v>
      </c>
      <c r="R20" s="4">
        <v>45</v>
      </c>
      <c r="S20" s="71">
        <v>35</v>
      </c>
    </row>
    <row r="21" spans="1:19">
      <c r="A21" s="5" t="s">
        <v>321</v>
      </c>
      <c r="B21" s="5" t="s">
        <v>918</v>
      </c>
      <c r="C21" s="67">
        <v>1100593</v>
      </c>
      <c r="D21" s="70" t="s">
        <v>929</v>
      </c>
      <c r="E21" s="5" t="s">
        <v>928</v>
      </c>
      <c r="F21" s="5" t="s">
        <v>1148</v>
      </c>
      <c r="G21" s="5" t="s">
        <v>927</v>
      </c>
      <c r="H21" s="17">
        <f t="shared" si="0"/>
        <v>2.3076923076923078E-2</v>
      </c>
      <c r="I21" s="5">
        <f t="shared" si="1"/>
        <v>3</v>
      </c>
      <c r="J21" s="4">
        <v>133</v>
      </c>
      <c r="K21" s="4">
        <v>130</v>
      </c>
      <c r="L21" s="4">
        <v>144</v>
      </c>
      <c r="M21" s="4">
        <v>134</v>
      </c>
      <c r="N21" s="4">
        <v>160</v>
      </c>
      <c r="O21" s="4">
        <v>160</v>
      </c>
      <c r="P21" s="4">
        <v>160</v>
      </c>
      <c r="Q21" s="4">
        <v>175</v>
      </c>
      <c r="R21" s="4">
        <v>185</v>
      </c>
      <c r="S21" s="71">
        <v>250</v>
      </c>
    </row>
    <row r="22" spans="1:19">
      <c r="A22" s="5" t="s">
        <v>321</v>
      </c>
      <c r="B22" s="5" t="s">
        <v>918</v>
      </c>
      <c r="C22" s="67">
        <v>1128073</v>
      </c>
      <c r="D22" s="70" t="s">
        <v>25</v>
      </c>
      <c r="E22" s="5" t="s">
        <v>926</v>
      </c>
      <c r="F22" s="5" t="s">
        <v>1148</v>
      </c>
      <c r="G22" s="5" t="s">
        <v>925</v>
      </c>
      <c r="H22" s="58">
        <f t="shared" si="0"/>
        <v>0</v>
      </c>
      <c r="I22" s="59">
        <f t="shared" si="1"/>
        <v>0</v>
      </c>
      <c r="J22" s="4">
        <v>47</v>
      </c>
      <c r="K22" s="4">
        <v>47</v>
      </c>
      <c r="L22" s="4">
        <v>47</v>
      </c>
      <c r="M22" s="4">
        <v>47</v>
      </c>
      <c r="N22" s="4">
        <v>43</v>
      </c>
      <c r="O22" s="4">
        <v>35</v>
      </c>
      <c r="P22" s="4">
        <v>45</v>
      </c>
      <c r="Q22" s="4">
        <v>29</v>
      </c>
      <c r="R22" s="4">
        <v>44</v>
      </c>
      <c r="S22" s="71">
        <v>45</v>
      </c>
    </row>
    <row r="23" spans="1:19">
      <c r="A23" s="5" t="s">
        <v>321</v>
      </c>
      <c r="B23" s="5" t="s">
        <v>918</v>
      </c>
      <c r="C23" s="67">
        <v>1528397</v>
      </c>
      <c r="D23" s="70" t="s">
        <v>924</v>
      </c>
      <c r="E23" s="5" t="s">
        <v>923</v>
      </c>
      <c r="F23" s="5" t="s">
        <v>1147</v>
      </c>
      <c r="G23" s="5" t="s">
        <v>922</v>
      </c>
      <c r="H23" s="58">
        <f t="shared" si="0"/>
        <v>0</v>
      </c>
      <c r="I23" s="59">
        <f t="shared" si="1"/>
        <v>0</v>
      </c>
      <c r="J23" s="4">
        <v>12</v>
      </c>
      <c r="K23" s="4">
        <v>12</v>
      </c>
      <c r="L23" s="4">
        <v>12</v>
      </c>
      <c r="M23" s="4">
        <v>12</v>
      </c>
      <c r="N23" s="4">
        <v>22</v>
      </c>
      <c r="O23" s="4">
        <v>15</v>
      </c>
      <c r="P23" s="4">
        <v>15</v>
      </c>
      <c r="Q23" s="4">
        <v>15</v>
      </c>
      <c r="R23" s="4">
        <v>15</v>
      </c>
      <c r="S23" s="71">
        <v>15</v>
      </c>
    </row>
    <row r="24" spans="1:19">
      <c r="A24" s="5" t="s">
        <v>321</v>
      </c>
      <c r="B24" s="5" t="s">
        <v>918</v>
      </c>
      <c r="C24" s="67">
        <v>1594654</v>
      </c>
      <c r="D24" s="70" t="s">
        <v>921</v>
      </c>
      <c r="E24" s="5" t="s">
        <v>920</v>
      </c>
      <c r="F24" s="5" t="s">
        <v>1148</v>
      </c>
      <c r="G24" s="5" t="s">
        <v>919</v>
      </c>
      <c r="H24" s="147">
        <f t="shared" si="0"/>
        <v>0.9</v>
      </c>
      <c r="I24" s="173">
        <f t="shared" si="1"/>
        <v>18</v>
      </c>
      <c r="J24" s="4">
        <v>38</v>
      </c>
      <c r="K24" s="4">
        <v>20</v>
      </c>
      <c r="L24" s="4">
        <v>30</v>
      </c>
      <c r="M24" s="4">
        <v>30</v>
      </c>
      <c r="N24" s="4">
        <v>30</v>
      </c>
      <c r="O24" s="4">
        <v>40</v>
      </c>
      <c r="P24" s="4">
        <v>47</v>
      </c>
      <c r="Q24" s="4">
        <v>35</v>
      </c>
      <c r="R24" s="4">
        <v>40</v>
      </c>
      <c r="S24" s="71">
        <v>50</v>
      </c>
    </row>
    <row r="25" spans="1:19">
      <c r="A25" s="5" t="s">
        <v>321</v>
      </c>
      <c r="B25" s="5" t="s">
        <v>918</v>
      </c>
      <c r="C25" s="67">
        <v>1059369</v>
      </c>
      <c r="D25" s="70" t="s">
        <v>75</v>
      </c>
      <c r="E25" s="5" t="s">
        <v>917</v>
      </c>
      <c r="F25" s="5" t="s">
        <v>1148</v>
      </c>
      <c r="G25" s="5" t="s">
        <v>916</v>
      </c>
      <c r="H25" s="17">
        <f t="shared" si="0"/>
        <v>0.04</v>
      </c>
      <c r="I25" s="5">
        <f t="shared" si="1"/>
        <v>5</v>
      </c>
      <c r="J25" s="54">
        <v>130</v>
      </c>
      <c r="K25" s="54">
        <v>125</v>
      </c>
      <c r="L25" s="54">
        <v>109</v>
      </c>
      <c r="M25" s="54">
        <v>115</v>
      </c>
      <c r="N25" s="54">
        <v>120</v>
      </c>
      <c r="O25" s="54">
        <v>110</v>
      </c>
      <c r="P25" s="54">
        <v>120</v>
      </c>
      <c r="Q25" s="54">
        <v>135</v>
      </c>
      <c r="R25" s="54">
        <v>130</v>
      </c>
      <c r="S25" s="145">
        <v>150</v>
      </c>
    </row>
    <row r="26" spans="1:19" ht="15" thickBot="1">
      <c r="D26" s="72" t="str">
        <f>"Church Count: "&amp;COUNTA(D5:D25)</f>
        <v>Church Count: 21</v>
      </c>
      <c r="E26" s="49"/>
      <c r="F26" s="49"/>
      <c r="G26" s="151" t="s">
        <v>1207</v>
      </c>
      <c r="H26" s="49"/>
      <c r="I26" s="49"/>
      <c r="J26" s="195">
        <f t="shared" ref="J26:S26" si="2">SUM(J5:J25)</f>
        <v>1250</v>
      </c>
      <c r="K26" s="195">
        <f t="shared" si="2"/>
        <v>1329</v>
      </c>
      <c r="L26" s="195">
        <f t="shared" si="2"/>
        <v>1293</v>
      </c>
      <c r="M26" s="195">
        <f t="shared" si="2"/>
        <v>1318</v>
      </c>
      <c r="N26" s="195">
        <f t="shared" si="2"/>
        <v>1436</v>
      </c>
      <c r="O26" s="195">
        <f t="shared" si="2"/>
        <v>1417</v>
      </c>
      <c r="P26" s="195">
        <f t="shared" si="2"/>
        <v>1479</v>
      </c>
      <c r="Q26" s="195">
        <f t="shared" si="2"/>
        <v>1486</v>
      </c>
      <c r="R26" s="195">
        <f t="shared" si="2"/>
        <v>1527</v>
      </c>
      <c r="S26" s="196">
        <f t="shared" si="2"/>
        <v>1620</v>
      </c>
    </row>
    <row r="27" spans="1:19" ht="15" thickTop="1">
      <c r="D27" s="152" t="s">
        <v>1180</v>
      </c>
      <c r="E27" s="49"/>
      <c r="F27" s="49"/>
      <c r="G27" s="151" t="s">
        <v>1208</v>
      </c>
      <c r="H27" s="49"/>
      <c r="I27" s="49"/>
      <c r="J27" s="205">
        <f>J26-K26</f>
        <v>-79</v>
      </c>
      <c r="K27" s="49"/>
      <c r="L27" s="49"/>
      <c r="M27" s="49"/>
      <c r="N27" s="49"/>
      <c r="O27" s="49"/>
      <c r="P27" s="49"/>
      <c r="Q27" s="49"/>
      <c r="R27" s="49"/>
      <c r="S27" s="50"/>
    </row>
    <row r="28" spans="1:19">
      <c r="D28" s="153" t="s">
        <v>1181</v>
      </c>
      <c r="E28" s="146"/>
      <c r="F28" s="146"/>
      <c r="G28" s="151" t="s">
        <v>1209</v>
      </c>
      <c r="H28" s="49"/>
      <c r="I28" s="49"/>
      <c r="J28" s="206">
        <f>(J26-K26)/ABS(K26)</f>
        <v>-5.9443190368698266E-2</v>
      </c>
      <c r="K28" s="49"/>
      <c r="L28" s="49"/>
      <c r="M28" s="49"/>
      <c r="N28" s="49"/>
      <c r="O28" s="49"/>
      <c r="P28" s="49"/>
      <c r="Q28" s="49"/>
      <c r="R28" s="49"/>
      <c r="S28" s="50"/>
    </row>
    <row r="29" spans="1:19">
      <c r="D29" s="170" t="s">
        <v>1210</v>
      </c>
      <c r="E29" s="49"/>
      <c r="F29" s="49"/>
      <c r="G29" s="218" t="s">
        <v>1219</v>
      </c>
      <c r="H29" s="49"/>
      <c r="I29" s="49"/>
      <c r="J29" s="221">
        <f>J26-S26</f>
        <v>-370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54" t="s">
        <v>1182</v>
      </c>
      <c r="E30" s="51"/>
      <c r="F30" s="51"/>
      <c r="G30" s="186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2"/>
    </row>
  </sheetData>
  <mergeCells count="1">
    <mergeCell ref="D1:S1"/>
  </mergeCells>
  <printOptions horizontalCentered="1"/>
  <pageMargins left="0.7" right="0.7" top="0.75" bottom="0.75" header="0.3" footer="0.3"/>
  <pageSetup scale="64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 enableFormatConditionsCalculation="0">
    <pageSetUpPr fitToPage="1"/>
  </sheetPr>
  <dimension ref="A1:S36"/>
  <sheetViews>
    <sheetView topLeftCell="D1" workbookViewId="0">
      <selection activeCell="J35" sqref="J35"/>
    </sheetView>
  </sheetViews>
  <sheetFormatPr baseColWidth="10" defaultColWidth="8.83203125" defaultRowHeight="14" x14ac:dyDescent="0"/>
  <cols>
    <col min="1" max="1" width="10.1640625" style="3" hidden="1" customWidth="1"/>
    <col min="2" max="2" width="7.5" style="3" hidden="1" customWidth="1"/>
    <col min="3" max="3" width="8.1640625" style="3" hidden="1" customWidth="1"/>
    <col min="4" max="4" width="48.33203125" style="3" bestFit="1" customWidth="1"/>
    <col min="5" max="5" width="12.5" style="3" bestFit="1" customWidth="1"/>
    <col min="6" max="6" width="10" style="3" bestFit="1" customWidth="1"/>
    <col min="7" max="7" width="23.6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North East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Tyler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226</v>
      </c>
      <c r="B5" s="5" t="s">
        <v>960</v>
      </c>
      <c r="C5" s="67">
        <v>1059260</v>
      </c>
      <c r="D5" s="70" t="s">
        <v>1013</v>
      </c>
      <c r="E5" s="5" t="s">
        <v>1012</v>
      </c>
      <c r="F5" s="5" t="s">
        <v>1148</v>
      </c>
      <c r="G5" s="5" t="s">
        <v>1011</v>
      </c>
      <c r="H5" s="149">
        <f>(J5-K5)/ABS(K5)</f>
        <v>-0.30769230769230771</v>
      </c>
      <c r="I5" s="150">
        <f>J5-K5</f>
        <v>-20</v>
      </c>
      <c r="J5" s="4">
        <v>45</v>
      </c>
      <c r="K5" s="4">
        <v>65</v>
      </c>
      <c r="L5" s="4">
        <v>65</v>
      </c>
      <c r="M5" s="4">
        <v>65</v>
      </c>
      <c r="N5" s="4">
        <v>55</v>
      </c>
      <c r="O5" s="4">
        <v>45</v>
      </c>
      <c r="P5" s="4">
        <v>45</v>
      </c>
      <c r="Q5" s="4">
        <v>50</v>
      </c>
      <c r="R5" s="4">
        <v>45</v>
      </c>
      <c r="S5" s="71">
        <v>40</v>
      </c>
    </row>
    <row r="6" spans="1:19">
      <c r="A6" s="5" t="s">
        <v>226</v>
      </c>
      <c r="B6" s="5" t="s">
        <v>960</v>
      </c>
      <c r="C6" s="67">
        <v>1058320</v>
      </c>
      <c r="D6" s="70" t="s">
        <v>1010</v>
      </c>
      <c r="E6" s="5" t="s">
        <v>1009</v>
      </c>
      <c r="F6" s="5" t="s">
        <v>1148</v>
      </c>
      <c r="G6" s="5" t="s">
        <v>1008</v>
      </c>
      <c r="H6" s="17">
        <f t="shared" ref="H6:H31" si="0">(J6-K6)/ABS(K6)</f>
        <v>6.6666666666666666E-2</v>
      </c>
      <c r="I6" s="5">
        <f t="shared" ref="I6:I31" si="1">J6-K6</f>
        <v>5</v>
      </c>
      <c r="J6" s="4">
        <v>80</v>
      </c>
      <c r="K6" s="4">
        <v>75</v>
      </c>
      <c r="L6" s="4">
        <v>75</v>
      </c>
      <c r="M6" s="4">
        <v>65</v>
      </c>
      <c r="N6" s="4">
        <v>30</v>
      </c>
      <c r="O6" s="4">
        <v>40</v>
      </c>
      <c r="P6" s="4">
        <v>35</v>
      </c>
      <c r="Q6" s="4">
        <v>50</v>
      </c>
      <c r="R6" s="4">
        <v>75</v>
      </c>
      <c r="S6" s="71">
        <v>75</v>
      </c>
    </row>
    <row r="7" spans="1:19">
      <c r="A7" s="5" t="s">
        <v>226</v>
      </c>
      <c r="B7" s="5" t="s">
        <v>960</v>
      </c>
      <c r="C7" s="67">
        <v>1058338</v>
      </c>
      <c r="D7" s="70" t="s">
        <v>1007</v>
      </c>
      <c r="E7" s="5" t="s">
        <v>1006</v>
      </c>
      <c r="F7" s="5" t="s">
        <v>1148</v>
      </c>
      <c r="G7" s="5" t="s">
        <v>1005</v>
      </c>
      <c r="H7" s="174">
        <f>(J7-K7)/ABS(K7)</f>
        <v>0.6470588235294118</v>
      </c>
      <c r="I7" s="173">
        <f t="shared" si="1"/>
        <v>11</v>
      </c>
      <c r="J7" s="4">
        <v>28</v>
      </c>
      <c r="K7" s="4">
        <v>17</v>
      </c>
      <c r="L7" s="4">
        <v>21</v>
      </c>
      <c r="M7" s="4">
        <v>18</v>
      </c>
      <c r="N7" s="4">
        <v>11</v>
      </c>
      <c r="O7" s="4">
        <v>30</v>
      </c>
      <c r="P7" s="4">
        <v>40</v>
      </c>
      <c r="Q7" s="4">
        <v>35</v>
      </c>
      <c r="R7" s="4">
        <v>33</v>
      </c>
      <c r="S7" s="71">
        <v>30</v>
      </c>
    </row>
    <row r="8" spans="1:19">
      <c r="A8" s="5" t="s">
        <v>226</v>
      </c>
      <c r="B8" s="5" t="s">
        <v>960</v>
      </c>
      <c r="C8" s="67">
        <v>1057694</v>
      </c>
      <c r="D8" s="70" t="s">
        <v>25</v>
      </c>
      <c r="E8" s="5" t="s">
        <v>1004</v>
      </c>
      <c r="F8" s="5" t="s">
        <v>1147</v>
      </c>
      <c r="G8" s="5" t="s">
        <v>1003</v>
      </c>
      <c r="H8" s="149">
        <f t="shared" si="0"/>
        <v>-0.16129032258064516</v>
      </c>
      <c r="I8" s="150">
        <f t="shared" si="1"/>
        <v>-5</v>
      </c>
      <c r="J8" s="4">
        <v>26</v>
      </c>
      <c r="K8" s="4">
        <v>31</v>
      </c>
      <c r="L8" s="4">
        <v>25</v>
      </c>
      <c r="M8" s="4">
        <v>22</v>
      </c>
      <c r="N8" s="4">
        <v>39</v>
      </c>
      <c r="O8" s="4">
        <v>45</v>
      </c>
      <c r="P8" s="4">
        <v>41</v>
      </c>
      <c r="Q8" s="4">
        <v>45</v>
      </c>
      <c r="R8" s="4">
        <v>51</v>
      </c>
      <c r="S8" s="71">
        <v>43</v>
      </c>
    </row>
    <row r="9" spans="1:19">
      <c r="A9" s="5" t="s">
        <v>226</v>
      </c>
      <c r="B9" s="5" t="s">
        <v>960</v>
      </c>
      <c r="C9" s="67">
        <v>1058429</v>
      </c>
      <c r="D9" s="70" t="s">
        <v>25</v>
      </c>
      <c r="E9" s="5" t="s">
        <v>1002</v>
      </c>
      <c r="F9" s="5" t="s">
        <v>1148</v>
      </c>
      <c r="G9" s="5" t="s">
        <v>1001</v>
      </c>
      <c r="H9" s="149">
        <f t="shared" si="0"/>
        <v>-6.6666666666666666E-2</v>
      </c>
      <c r="I9" s="150">
        <f t="shared" si="1"/>
        <v>-2</v>
      </c>
      <c r="J9" s="4">
        <v>28</v>
      </c>
      <c r="K9" s="4">
        <v>30</v>
      </c>
      <c r="L9" s="4">
        <v>36</v>
      </c>
      <c r="M9" s="4">
        <v>35</v>
      </c>
      <c r="N9" s="4">
        <v>35</v>
      </c>
      <c r="O9" s="4">
        <v>30</v>
      </c>
      <c r="P9" s="4">
        <v>25</v>
      </c>
      <c r="Q9" s="4">
        <v>27</v>
      </c>
      <c r="R9" s="4">
        <v>25</v>
      </c>
      <c r="S9" s="71">
        <v>25</v>
      </c>
    </row>
    <row r="10" spans="1:19">
      <c r="A10" s="5" t="s">
        <v>226</v>
      </c>
      <c r="B10" s="5" t="s">
        <v>960</v>
      </c>
      <c r="C10" s="67">
        <v>1058684</v>
      </c>
      <c r="D10" s="70" t="s">
        <v>25</v>
      </c>
      <c r="E10" s="5" t="s">
        <v>1000</v>
      </c>
      <c r="F10" s="5" t="s">
        <v>1148</v>
      </c>
      <c r="G10" s="5" t="s">
        <v>3</v>
      </c>
      <c r="H10" s="149">
        <f t="shared" si="0"/>
        <v>-0.15384615384615385</v>
      </c>
      <c r="I10" s="150">
        <f t="shared" si="1"/>
        <v>-10</v>
      </c>
      <c r="J10" s="4">
        <v>55</v>
      </c>
      <c r="K10" s="4">
        <v>65</v>
      </c>
      <c r="L10" s="4">
        <v>60</v>
      </c>
      <c r="M10" s="4">
        <v>50</v>
      </c>
      <c r="N10" s="4">
        <v>45</v>
      </c>
      <c r="O10" s="4">
        <v>45</v>
      </c>
      <c r="P10" s="4">
        <v>50</v>
      </c>
      <c r="Q10" s="4">
        <v>70</v>
      </c>
      <c r="R10" s="4">
        <v>75</v>
      </c>
      <c r="S10" s="71">
        <v>94</v>
      </c>
    </row>
    <row r="11" spans="1:19">
      <c r="A11" s="5" t="s">
        <v>226</v>
      </c>
      <c r="B11" s="5" t="s">
        <v>960</v>
      </c>
      <c r="C11" s="67">
        <v>1059146</v>
      </c>
      <c r="D11" s="70" t="s">
        <v>242</v>
      </c>
      <c r="E11" s="5" t="s">
        <v>960</v>
      </c>
      <c r="F11" s="5" t="s">
        <v>1148</v>
      </c>
      <c r="G11" s="5" t="s">
        <v>999</v>
      </c>
      <c r="H11" s="175">
        <f t="shared" si="0"/>
        <v>5.3636363636363633</v>
      </c>
      <c r="I11" s="173">
        <f t="shared" si="1"/>
        <v>59</v>
      </c>
      <c r="J11" s="4">
        <v>70</v>
      </c>
      <c r="K11" s="4">
        <v>11</v>
      </c>
      <c r="L11" s="4">
        <v>140</v>
      </c>
      <c r="M11" s="4">
        <v>270</v>
      </c>
      <c r="N11" s="4">
        <v>44</v>
      </c>
      <c r="O11" s="4">
        <v>90</v>
      </c>
      <c r="P11" s="4">
        <v>99</v>
      </c>
      <c r="Q11" s="4">
        <v>96</v>
      </c>
      <c r="R11" s="4">
        <v>96</v>
      </c>
      <c r="S11" s="71">
        <v>90</v>
      </c>
    </row>
    <row r="12" spans="1:19">
      <c r="A12" s="5" t="s">
        <v>226</v>
      </c>
      <c r="B12" s="5" t="s">
        <v>960</v>
      </c>
      <c r="C12" s="67">
        <v>1059153</v>
      </c>
      <c r="D12" s="70" t="s">
        <v>19</v>
      </c>
      <c r="E12" s="5" t="s">
        <v>960</v>
      </c>
      <c r="F12" s="5" t="s">
        <v>1148</v>
      </c>
      <c r="G12" s="5" t="s">
        <v>998</v>
      </c>
      <c r="H12" s="149">
        <f t="shared" si="0"/>
        <v>-0.24528301886792453</v>
      </c>
      <c r="I12" s="150">
        <f t="shared" si="1"/>
        <v>-13</v>
      </c>
      <c r="J12" s="4">
        <v>40</v>
      </c>
      <c r="K12" s="4">
        <v>53</v>
      </c>
      <c r="L12" s="4">
        <v>55</v>
      </c>
      <c r="M12" s="4">
        <v>38</v>
      </c>
      <c r="N12" s="4">
        <v>38</v>
      </c>
      <c r="O12" s="4">
        <v>40</v>
      </c>
      <c r="P12" s="4">
        <v>40</v>
      </c>
      <c r="Q12" s="4">
        <v>32</v>
      </c>
      <c r="R12" s="4">
        <v>20</v>
      </c>
      <c r="S12" s="71">
        <v>15</v>
      </c>
    </row>
    <row r="13" spans="1:19">
      <c r="A13" s="5" t="s">
        <v>226</v>
      </c>
      <c r="B13" s="5" t="s">
        <v>960</v>
      </c>
      <c r="C13" s="67">
        <v>1059161</v>
      </c>
      <c r="D13" s="70" t="s">
        <v>25</v>
      </c>
      <c r="E13" s="5" t="s">
        <v>960</v>
      </c>
      <c r="F13" s="5" t="s">
        <v>1148</v>
      </c>
      <c r="G13" s="5" t="s">
        <v>997</v>
      </c>
      <c r="H13" s="17">
        <f t="shared" si="0"/>
        <v>0.04</v>
      </c>
      <c r="I13" s="5">
        <f t="shared" si="1"/>
        <v>5</v>
      </c>
      <c r="J13" s="4">
        <v>130</v>
      </c>
      <c r="K13" s="4">
        <v>125</v>
      </c>
      <c r="L13" s="4">
        <v>125</v>
      </c>
      <c r="M13" s="4">
        <v>170</v>
      </c>
      <c r="N13" s="4">
        <v>150</v>
      </c>
      <c r="O13" s="4">
        <v>140</v>
      </c>
      <c r="P13" s="4">
        <v>120</v>
      </c>
      <c r="Q13" s="4">
        <v>160</v>
      </c>
      <c r="R13" s="4">
        <v>250</v>
      </c>
      <c r="S13" s="71">
        <v>475</v>
      </c>
    </row>
    <row r="14" spans="1:19">
      <c r="A14" s="5" t="s">
        <v>226</v>
      </c>
      <c r="B14" s="5" t="s">
        <v>960</v>
      </c>
      <c r="C14" s="67">
        <v>1059195</v>
      </c>
      <c r="D14" s="70" t="s">
        <v>996</v>
      </c>
      <c r="E14" s="5" t="s">
        <v>960</v>
      </c>
      <c r="F14" s="5" t="s">
        <v>1148</v>
      </c>
      <c r="G14" s="5" t="s">
        <v>995</v>
      </c>
      <c r="H14" s="149">
        <f t="shared" si="0"/>
        <v>-7.1428571428571425E-2</v>
      </c>
      <c r="I14" s="150">
        <f t="shared" si="1"/>
        <v>-10</v>
      </c>
      <c r="J14" s="4">
        <v>130</v>
      </c>
      <c r="K14" s="4">
        <v>140</v>
      </c>
      <c r="L14" s="4">
        <v>120</v>
      </c>
      <c r="M14" s="4">
        <v>120</v>
      </c>
      <c r="N14" s="4">
        <v>140</v>
      </c>
      <c r="O14" s="4">
        <v>140</v>
      </c>
      <c r="P14" s="4">
        <v>120</v>
      </c>
      <c r="Q14" s="4">
        <v>140</v>
      </c>
      <c r="R14" s="4">
        <v>125</v>
      </c>
      <c r="S14" s="71">
        <v>110</v>
      </c>
    </row>
    <row r="15" spans="1:19">
      <c r="A15" s="5" t="s">
        <v>226</v>
      </c>
      <c r="B15" s="5" t="s">
        <v>960</v>
      </c>
      <c r="C15" s="67">
        <v>1059203</v>
      </c>
      <c r="D15" s="70" t="s">
        <v>994</v>
      </c>
      <c r="E15" s="5" t="s">
        <v>960</v>
      </c>
      <c r="F15" s="5" t="s">
        <v>1148</v>
      </c>
      <c r="G15" s="5" t="s">
        <v>993</v>
      </c>
      <c r="H15" s="149">
        <f t="shared" si="0"/>
        <v>-0.22666666666666666</v>
      </c>
      <c r="I15" s="150">
        <f t="shared" si="1"/>
        <v>-17</v>
      </c>
      <c r="J15" s="4">
        <v>58</v>
      </c>
      <c r="K15" s="4">
        <v>75</v>
      </c>
      <c r="L15" s="4">
        <v>66</v>
      </c>
      <c r="M15" s="4">
        <v>67</v>
      </c>
      <c r="N15" s="4">
        <v>50</v>
      </c>
      <c r="O15" s="4">
        <v>60</v>
      </c>
      <c r="P15" s="4">
        <v>85</v>
      </c>
      <c r="Q15" s="4">
        <v>110</v>
      </c>
      <c r="R15" s="4">
        <v>185</v>
      </c>
      <c r="S15" s="71">
        <v>175</v>
      </c>
    </row>
    <row r="16" spans="1:19">
      <c r="A16" s="5" t="s">
        <v>226</v>
      </c>
      <c r="B16" s="5" t="s">
        <v>960</v>
      </c>
      <c r="C16" s="67">
        <v>1059229</v>
      </c>
      <c r="D16" s="70" t="s">
        <v>204</v>
      </c>
      <c r="E16" s="5" t="s">
        <v>960</v>
      </c>
      <c r="F16" s="5" t="s">
        <v>1148</v>
      </c>
      <c r="G16" s="5" t="s">
        <v>992</v>
      </c>
      <c r="H16" s="58">
        <f t="shared" si="0"/>
        <v>0</v>
      </c>
      <c r="I16" s="59">
        <f t="shared" si="1"/>
        <v>0</v>
      </c>
      <c r="J16" s="4">
        <v>30</v>
      </c>
      <c r="K16" s="4">
        <v>30</v>
      </c>
      <c r="L16" s="4">
        <v>30</v>
      </c>
      <c r="M16" s="4">
        <v>25</v>
      </c>
      <c r="N16" s="4">
        <v>25</v>
      </c>
      <c r="O16" s="4">
        <v>38</v>
      </c>
      <c r="P16" s="4">
        <v>34</v>
      </c>
      <c r="Q16" s="4">
        <v>36</v>
      </c>
      <c r="R16" s="4">
        <v>35</v>
      </c>
      <c r="S16" s="71">
        <v>48</v>
      </c>
    </row>
    <row r="17" spans="1:19">
      <c r="A17" s="5" t="s">
        <v>226</v>
      </c>
      <c r="B17" s="5" t="s">
        <v>960</v>
      </c>
      <c r="C17" s="67">
        <v>1057397</v>
      </c>
      <c r="D17" s="70" t="s">
        <v>991</v>
      </c>
      <c r="E17" s="5" t="s">
        <v>990</v>
      </c>
      <c r="F17" s="5" t="s">
        <v>1148</v>
      </c>
      <c r="G17" s="5" t="s">
        <v>989</v>
      </c>
      <c r="H17" s="149">
        <f t="shared" si="0"/>
        <v>-0.10714285714285714</v>
      </c>
      <c r="I17" s="150">
        <f t="shared" si="1"/>
        <v>-6</v>
      </c>
      <c r="J17" s="4">
        <v>50</v>
      </c>
      <c r="K17" s="4">
        <v>56</v>
      </c>
      <c r="L17" s="4">
        <v>51</v>
      </c>
      <c r="M17" s="4">
        <v>48</v>
      </c>
      <c r="N17" s="4">
        <v>41</v>
      </c>
      <c r="O17" s="4">
        <v>26</v>
      </c>
      <c r="P17" s="4">
        <v>25</v>
      </c>
      <c r="Q17" s="4">
        <v>25</v>
      </c>
      <c r="R17" s="4">
        <v>7</v>
      </c>
      <c r="S17" s="71">
        <v>30</v>
      </c>
    </row>
    <row r="18" spans="1:19">
      <c r="A18" s="5" t="s">
        <v>226</v>
      </c>
      <c r="B18" s="5" t="s">
        <v>960</v>
      </c>
      <c r="C18" s="67">
        <v>1059245</v>
      </c>
      <c r="D18" s="70" t="s">
        <v>25</v>
      </c>
      <c r="E18" s="5" t="s">
        <v>988</v>
      </c>
      <c r="F18" s="5" t="s">
        <v>1148</v>
      </c>
      <c r="G18" s="5" t="s">
        <v>987</v>
      </c>
      <c r="H18" s="17">
        <f t="shared" si="0"/>
        <v>9.0909090909090912E-2</v>
      </c>
      <c r="I18" s="5">
        <f t="shared" si="1"/>
        <v>25</v>
      </c>
      <c r="J18" s="4">
        <v>300</v>
      </c>
      <c r="K18" s="4">
        <v>275</v>
      </c>
      <c r="L18" s="4">
        <v>250</v>
      </c>
      <c r="M18" s="4">
        <v>220</v>
      </c>
      <c r="N18" s="4">
        <v>205</v>
      </c>
      <c r="O18" s="4">
        <v>200</v>
      </c>
      <c r="P18" s="4">
        <v>175</v>
      </c>
      <c r="Q18" s="4">
        <v>155</v>
      </c>
      <c r="R18" s="4">
        <v>125</v>
      </c>
      <c r="S18" s="71">
        <v>150</v>
      </c>
    </row>
    <row r="19" spans="1:19">
      <c r="A19" s="5" t="s">
        <v>226</v>
      </c>
      <c r="B19" s="5" t="s">
        <v>960</v>
      </c>
      <c r="C19" s="67">
        <v>1057298</v>
      </c>
      <c r="D19" s="70" t="s">
        <v>25</v>
      </c>
      <c r="E19" s="5" t="s">
        <v>986</v>
      </c>
      <c r="F19" s="5" t="s">
        <v>1148</v>
      </c>
      <c r="G19" s="5" t="s">
        <v>985</v>
      </c>
      <c r="H19" s="17">
        <f t="shared" si="0"/>
        <v>5.8823529411764705E-2</v>
      </c>
      <c r="I19" s="5">
        <f t="shared" si="1"/>
        <v>4</v>
      </c>
      <c r="J19" s="4">
        <v>72</v>
      </c>
      <c r="K19" s="4">
        <v>68</v>
      </c>
      <c r="L19" s="4">
        <v>75</v>
      </c>
      <c r="M19" s="4">
        <v>75</v>
      </c>
      <c r="N19" s="4">
        <v>84</v>
      </c>
      <c r="O19" s="4">
        <v>85</v>
      </c>
      <c r="P19" s="4">
        <v>80</v>
      </c>
      <c r="Q19" s="4">
        <v>91</v>
      </c>
      <c r="R19" s="4">
        <v>90</v>
      </c>
      <c r="S19" s="71">
        <v>80</v>
      </c>
    </row>
    <row r="20" spans="1:19">
      <c r="A20" s="5" t="s">
        <v>226</v>
      </c>
      <c r="B20" s="5" t="s">
        <v>960</v>
      </c>
      <c r="C20" s="67">
        <v>1059302</v>
      </c>
      <c r="D20" s="70" t="s">
        <v>984</v>
      </c>
      <c r="E20" s="5" t="s">
        <v>983</v>
      </c>
      <c r="F20" s="5" t="s">
        <v>1148</v>
      </c>
      <c r="G20" s="5" t="s">
        <v>982</v>
      </c>
      <c r="H20" s="58">
        <f t="shared" si="0"/>
        <v>0</v>
      </c>
      <c r="I20" s="59">
        <f t="shared" si="1"/>
        <v>0</v>
      </c>
      <c r="J20" s="4">
        <v>60</v>
      </c>
      <c r="K20" s="4">
        <v>60</v>
      </c>
      <c r="L20" s="4">
        <v>60</v>
      </c>
      <c r="M20" s="4">
        <v>65</v>
      </c>
      <c r="N20" s="4">
        <v>65</v>
      </c>
      <c r="O20" s="4">
        <v>65</v>
      </c>
      <c r="P20" s="4">
        <v>60</v>
      </c>
      <c r="Q20" s="4">
        <v>63</v>
      </c>
      <c r="R20" s="4">
        <v>60</v>
      </c>
      <c r="S20" s="71">
        <v>45</v>
      </c>
    </row>
    <row r="21" spans="1:19">
      <c r="A21" s="5" t="s">
        <v>226</v>
      </c>
      <c r="B21" s="5" t="s">
        <v>960</v>
      </c>
      <c r="C21" s="67">
        <v>1059336</v>
      </c>
      <c r="D21" s="70" t="s">
        <v>25</v>
      </c>
      <c r="E21" s="5" t="s">
        <v>981</v>
      </c>
      <c r="F21" s="5" t="s">
        <v>1147</v>
      </c>
      <c r="G21" s="5" t="s">
        <v>980</v>
      </c>
      <c r="H21" s="149">
        <f t="shared" si="0"/>
        <v>-0.1891891891891892</v>
      </c>
      <c r="I21" s="150">
        <f t="shared" si="1"/>
        <v>-7</v>
      </c>
      <c r="J21" s="4">
        <v>30</v>
      </c>
      <c r="K21" s="4">
        <v>37</v>
      </c>
      <c r="L21" s="4">
        <v>36</v>
      </c>
      <c r="M21" s="4">
        <v>34</v>
      </c>
      <c r="N21" s="4">
        <v>35</v>
      </c>
      <c r="O21" s="4">
        <v>35</v>
      </c>
      <c r="P21" s="4">
        <v>31</v>
      </c>
      <c r="Q21" s="4">
        <v>39</v>
      </c>
      <c r="R21" s="4">
        <v>40</v>
      </c>
      <c r="S21" s="71">
        <v>38</v>
      </c>
    </row>
    <row r="22" spans="1:19">
      <c r="A22" s="5" t="s">
        <v>226</v>
      </c>
      <c r="B22" s="5" t="s">
        <v>960</v>
      </c>
      <c r="C22" s="67">
        <v>1059377</v>
      </c>
      <c r="D22" s="70" t="s">
        <v>25</v>
      </c>
      <c r="E22" s="5" t="s">
        <v>979</v>
      </c>
      <c r="F22" s="5" t="s">
        <v>1148</v>
      </c>
      <c r="G22" s="5" t="s">
        <v>978</v>
      </c>
      <c r="H22" s="149">
        <f t="shared" si="0"/>
        <v>-7.6923076923076927E-2</v>
      </c>
      <c r="I22" s="150">
        <f t="shared" si="1"/>
        <v>-5</v>
      </c>
      <c r="J22" s="4">
        <v>60</v>
      </c>
      <c r="K22" s="4">
        <v>65</v>
      </c>
      <c r="L22" s="4">
        <v>70</v>
      </c>
      <c r="M22" s="4">
        <v>70</v>
      </c>
      <c r="N22" s="4">
        <v>70</v>
      </c>
      <c r="O22" s="4">
        <v>70</v>
      </c>
      <c r="P22" s="4">
        <v>60</v>
      </c>
      <c r="Q22" s="4">
        <v>60</v>
      </c>
      <c r="R22" s="4">
        <v>60</v>
      </c>
      <c r="S22" s="71">
        <v>50</v>
      </c>
    </row>
    <row r="23" spans="1:19">
      <c r="A23" s="5" t="s">
        <v>226</v>
      </c>
      <c r="B23" s="5" t="s">
        <v>960</v>
      </c>
      <c r="C23" s="67">
        <v>1059435</v>
      </c>
      <c r="D23" s="70" t="s">
        <v>977</v>
      </c>
      <c r="E23" s="5" t="s">
        <v>960</v>
      </c>
      <c r="F23" s="5" t="s">
        <v>1148</v>
      </c>
      <c r="G23" s="5" t="s">
        <v>976</v>
      </c>
      <c r="H23" s="174">
        <f t="shared" si="0"/>
        <v>0.25</v>
      </c>
      <c r="I23" s="173">
        <f t="shared" si="1"/>
        <v>25</v>
      </c>
      <c r="J23" s="4">
        <v>125</v>
      </c>
      <c r="K23" s="4">
        <v>100</v>
      </c>
      <c r="L23" s="4">
        <v>100</v>
      </c>
      <c r="M23" s="4">
        <v>85</v>
      </c>
      <c r="N23" s="4">
        <v>85</v>
      </c>
      <c r="O23" s="4">
        <v>85</v>
      </c>
      <c r="P23" s="4">
        <v>75</v>
      </c>
      <c r="Q23" s="4">
        <v>100</v>
      </c>
      <c r="R23" s="4">
        <v>125</v>
      </c>
      <c r="S23" s="71">
        <v>120</v>
      </c>
    </row>
    <row r="24" spans="1:19">
      <c r="A24" s="5" t="s">
        <v>226</v>
      </c>
      <c r="B24" s="5" t="s">
        <v>960</v>
      </c>
      <c r="C24" s="67">
        <v>1059450</v>
      </c>
      <c r="D24" s="70" t="s">
        <v>25</v>
      </c>
      <c r="E24" s="5" t="s">
        <v>975</v>
      </c>
      <c r="F24" s="5" t="s">
        <v>1148</v>
      </c>
      <c r="G24" s="5" t="s">
        <v>974</v>
      </c>
      <c r="H24" s="149">
        <f t="shared" si="0"/>
        <v>-0.29292929292929293</v>
      </c>
      <c r="I24" s="150">
        <f t="shared" si="1"/>
        <v>-29</v>
      </c>
      <c r="J24" s="4">
        <v>70</v>
      </c>
      <c r="K24" s="4">
        <v>99</v>
      </c>
      <c r="L24" s="4">
        <v>99</v>
      </c>
      <c r="M24" s="4">
        <v>99</v>
      </c>
      <c r="N24" s="4">
        <v>99</v>
      </c>
      <c r="O24" s="4">
        <v>110</v>
      </c>
      <c r="P24" s="4">
        <v>100</v>
      </c>
      <c r="Q24" s="4">
        <v>100</v>
      </c>
      <c r="R24" s="4">
        <v>95</v>
      </c>
      <c r="S24" s="71">
        <v>95</v>
      </c>
    </row>
    <row r="25" spans="1:19">
      <c r="A25" s="5" t="s">
        <v>226</v>
      </c>
      <c r="B25" s="5" t="s">
        <v>960</v>
      </c>
      <c r="C25" s="67">
        <v>1059484</v>
      </c>
      <c r="D25" s="70" t="s">
        <v>25</v>
      </c>
      <c r="E25" s="5" t="s">
        <v>973</v>
      </c>
      <c r="F25" s="5" t="s">
        <v>1148</v>
      </c>
      <c r="G25" s="5" t="s">
        <v>972</v>
      </c>
      <c r="H25" s="17">
        <f t="shared" si="0"/>
        <v>1.9047619047619049E-2</v>
      </c>
      <c r="I25" s="5">
        <f t="shared" si="1"/>
        <v>2</v>
      </c>
      <c r="J25" s="4">
        <v>107</v>
      </c>
      <c r="K25" s="4">
        <v>105</v>
      </c>
      <c r="L25" s="4">
        <v>109</v>
      </c>
      <c r="M25" s="4">
        <v>106</v>
      </c>
      <c r="N25" s="4">
        <v>105</v>
      </c>
      <c r="O25" s="4">
        <v>121</v>
      </c>
      <c r="P25" s="4">
        <v>120</v>
      </c>
      <c r="Q25" s="4">
        <v>119</v>
      </c>
      <c r="R25" s="4">
        <v>124</v>
      </c>
      <c r="S25" s="71">
        <v>94</v>
      </c>
    </row>
    <row r="26" spans="1:19">
      <c r="A26" s="5" t="s">
        <v>226</v>
      </c>
      <c r="B26" s="5" t="s">
        <v>960</v>
      </c>
      <c r="C26" s="67">
        <v>1059518</v>
      </c>
      <c r="D26" s="70" t="s">
        <v>25</v>
      </c>
      <c r="E26" s="5" t="s">
        <v>971</v>
      </c>
      <c r="F26" s="5" t="s">
        <v>1148</v>
      </c>
      <c r="G26" s="5" t="s">
        <v>970</v>
      </c>
      <c r="H26" s="149">
        <f t="shared" si="0"/>
        <v>-0.2857142857142857</v>
      </c>
      <c r="I26" s="150">
        <f t="shared" si="1"/>
        <v>-10</v>
      </c>
      <c r="J26" s="4">
        <v>25</v>
      </c>
      <c r="K26" s="4">
        <v>35</v>
      </c>
      <c r="L26" s="4">
        <v>40</v>
      </c>
      <c r="M26" s="4">
        <v>40</v>
      </c>
      <c r="N26" s="4">
        <v>40</v>
      </c>
      <c r="O26" s="4">
        <v>40</v>
      </c>
      <c r="P26" s="4">
        <v>75</v>
      </c>
      <c r="Q26" s="4">
        <v>85</v>
      </c>
      <c r="R26" s="4">
        <v>100</v>
      </c>
      <c r="S26" s="71">
        <v>100</v>
      </c>
    </row>
    <row r="27" spans="1:19">
      <c r="A27" s="5" t="s">
        <v>226</v>
      </c>
      <c r="B27" s="5" t="s">
        <v>960</v>
      </c>
      <c r="C27" s="67">
        <v>1059534</v>
      </c>
      <c r="D27" s="70" t="s">
        <v>25</v>
      </c>
      <c r="E27" s="5" t="s">
        <v>969</v>
      </c>
      <c r="F27" s="5" t="s">
        <v>1148</v>
      </c>
      <c r="G27" s="5" t="s">
        <v>968</v>
      </c>
      <c r="H27" s="174">
        <f t="shared" si="0"/>
        <v>1.1111111111111112</v>
      </c>
      <c r="I27" s="173">
        <f t="shared" si="1"/>
        <v>50</v>
      </c>
      <c r="J27" s="4">
        <v>95</v>
      </c>
      <c r="K27" s="4">
        <v>45</v>
      </c>
      <c r="L27" s="4">
        <v>70</v>
      </c>
      <c r="M27" s="4">
        <v>70</v>
      </c>
      <c r="N27" s="4">
        <v>150</v>
      </c>
      <c r="O27" s="4">
        <v>175</v>
      </c>
      <c r="P27" s="4">
        <v>225</v>
      </c>
      <c r="Q27" s="4">
        <v>240</v>
      </c>
      <c r="R27" s="4">
        <v>225</v>
      </c>
      <c r="S27" s="71">
        <v>160</v>
      </c>
    </row>
    <row r="28" spans="1:19">
      <c r="A28" s="5" t="s">
        <v>226</v>
      </c>
      <c r="B28" s="5" t="s">
        <v>960</v>
      </c>
      <c r="C28" s="67">
        <v>1099266</v>
      </c>
      <c r="D28" s="70" t="s">
        <v>967</v>
      </c>
      <c r="E28" s="5" t="s">
        <v>960</v>
      </c>
      <c r="F28" s="5" t="s">
        <v>1148</v>
      </c>
      <c r="G28" s="5" t="s">
        <v>3</v>
      </c>
      <c r="H28" s="149">
        <f t="shared" si="0"/>
        <v>-0.54545454545454541</v>
      </c>
      <c r="I28" s="150">
        <f t="shared" si="1"/>
        <v>-12</v>
      </c>
      <c r="J28" s="4">
        <v>10</v>
      </c>
      <c r="K28" s="4">
        <v>22</v>
      </c>
      <c r="L28" s="4">
        <v>22</v>
      </c>
      <c r="M28" s="4">
        <v>22</v>
      </c>
      <c r="N28" s="4">
        <v>23</v>
      </c>
      <c r="O28" s="4">
        <v>23</v>
      </c>
      <c r="P28" s="4">
        <v>20</v>
      </c>
      <c r="Q28" s="4">
        <v>20</v>
      </c>
      <c r="R28" s="4">
        <v>22</v>
      </c>
      <c r="S28" s="71">
        <v>23</v>
      </c>
    </row>
    <row r="29" spans="1:19">
      <c r="A29" s="5" t="s">
        <v>226</v>
      </c>
      <c r="B29" s="5" t="s">
        <v>960</v>
      </c>
      <c r="C29" s="67">
        <v>1354356</v>
      </c>
      <c r="D29" s="70" t="s">
        <v>966</v>
      </c>
      <c r="E29" s="5" t="s">
        <v>963</v>
      </c>
      <c r="F29" s="5" t="s">
        <v>1148</v>
      </c>
      <c r="G29" s="5" t="s">
        <v>965</v>
      </c>
      <c r="H29" s="58">
        <f t="shared" si="0"/>
        <v>0</v>
      </c>
      <c r="I29" s="59">
        <f t="shared" si="1"/>
        <v>0</v>
      </c>
      <c r="J29" s="4">
        <v>65</v>
      </c>
      <c r="K29" s="4">
        <v>65</v>
      </c>
      <c r="L29" s="4">
        <v>60</v>
      </c>
      <c r="M29" s="4">
        <v>60</v>
      </c>
      <c r="N29" s="4">
        <v>60</v>
      </c>
      <c r="O29" s="4">
        <v>60</v>
      </c>
      <c r="P29" s="4">
        <v>75</v>
      </c>
      <c r="Q29" s="4">
        <v>70</v>
      </c>
      <c r="R29" s="4">
        <v>65</v>
      </c>
      <c r="S29" s="71">
        <v>57</v>
      </c>
    </row>
    <row r="30" spans="1:19">
      <c r="A30" s="5" t="s">
        <v>226</v>
      </c>
      <c r="B30" s="5" t="s">
        <v>960</v>
      </c>
      <c r="C30" s="67">
        <v>1672146</v>
      </c>
      <c r="D30" s="70" t="s">
        <v>964</v>
      </c>
      <c r="E30" s="5" t="s">
        <v>963</v>
      </c>
      <c r="F30" s="5" t="s">
        <v>1147</v>
      </c>
      <c r="G30" s="5" t="s">
        <v>962</v>
      </c>
      <c r="H30" s="174">
        <f t="shared" si="0"/>
        <v>1</v>
      </c>
      <c r="I30" s="173">
        <f t="shared" si="1"/>
        <v>225</v>
      </c>
      <c r="J30" s="176">
        <v>450</v>
      </c>
      <c r="K30" s="4">
        <v>225</v>
      </c>
      <c r="L30" s="4">
        <v>95</v>
      </c>
      <c r="M30" s="49"/>
      <c r="N30" s="49"/>
      <c r="O30" s="49"/>
      <c r="P30" s="49"/>
      <c r="Q30" s="49"/>
      <c r="R30" s="49"/>
      <c r="S30" s="50"/>
    </row>
    <row r="31" spans="1:19">
      <c r="A31" s="5" t="s">
        <v>226</v>
      </c>
      <c r="B31" s="5" t="s">
        <v>960</v>
      </c>
      <c r="C31" s="67">
        <v>1059237</v>
      </c>
      <c r="D31" s="70" t="s">
        <v>961</v>
      </c>
      <c r="E31" s="5" t="s">
        <v>960</v>
      </c>
      <c r="F31" s="5" t="s">
        <v>1147</v>
      </c>
      <c r="G31" s="5" t="s">
        <v>3</v>
      </c>
      <c r="H31" s="58">
        <f t="shared" si="0"/>
        <v>0</v>
      </c>
      <c r="I31" s="59">
        <f t="shared" si="1"/>
        <v>0</v>
      </c>
      <c r="J31" s="54">
        <v>25</v>
      </c>
      <c r="K31" s="54">
        <v>25</v>
      </c>
      <c r="L31" s="54">
        <v>30</v>
      </c>
      <c r="M31" s="54">
        <v>43</v>
      </c>
      <c r="N31" s="54">
        <v>43</v>
      </c>
      <c r="O31" s="54">
        <v>85</v>
      </c>
      <c r="P31" s="54">
        <v>85</v>
      </c>
      <c r="Q31" s="54">
        <v>85</v>
      </c>
      <c r="R31" s="54">
        <v>80</v>
      </c>
      <c r="S31" s="145">
        <v>70</v>
      </c>
    </row>
    <row r="32" spans="1:19" ht="15" thickBot="1">
      <c r="D32" s="72" t="str">
        <f>"Church Count: "&amp;COUNTA(D5:D31)</f>
        <v>Church Count: 27</v>
      </c>
      <c r="E32" s="49"/>
      <c r="F32" s="49"/>
      <c r="G32" s="151" t="s">
        <v>1208</v>
      </c>
      <c r="H32" s="49"/>
      <c r="I32" s="49"/>
      <c r="J32" s="197">
        <f t="shared" ref="J32:S32" si="2">SUM(J5:J31)</f>
        <v>2264</v>
      </c>
      <c r="K32" s="197">
        <f t="shared" si="2"/>
        <v>1999</v>
      </c>
      <c r="L32" s="197">
        <f t="shared" si="2"/>
        <v>1985</v>
      </c>
      <c r="M32" s="197">
        <f t="shared" si="2"/>
        <v>1982</v>
      </c>
      <c r="N32" s="197">
        <f t="shared" si="2"/>
        <v>1767</v>
      </c>
      <c r="O32" s="197">
        <f t="shared" si="2"/>
        <v>1923</v>
      </c>
      <c r="P32" s="197">
        <f t="shared" si="2"/>
        <v>1940</v>
      </c>
      <c r="Q32" s="197">
        <f t="shared" si="2"/>
        <v>2103</v>
      </c>
      <c r="R32" s="197">
        <f t="shared" si="2"/>
        <v>2233</v>
      </c>
      <c r="S32" s="198">
        <f t="shared" si="2"/>
        <v>2332</v>
      </c>
    </row>
    <row r="33" spans="4:19" ht="15" thickTop="1">
      <c r="D33" s="152" t="s">
        <v>1180</v>
      </c>
      <c r="E33" s="49"/>
      <c r="F33" s="49"/>
      <c r="G33" s="151" t="s">
        <v>1208</v>
      </c>
      <c r="H33" s="49"/>
      <c r="I33" s="49"/>
      <c r="J33" s="49">
        <f>J32-K32</f>
        <v>265</v>
      </c>
      <c r="K33" s="49"/>
      <c r="L33" s="49"/>
      <c r="M33" s="49"/>
      <c r="N33" s="49"/>
      <c r="O33" s="49"/>
      <c r="P33" s="49"/>
      <c r="Q33" s="49"/>
      <c r="R33" s="49"/>
      <c r="S33" s="50"/>
    </row>
    <row r="34" spans="4:19">
      <c r="D34" s="153" t="s">
        <v>1181</v>
      </c>
      <c r="E34" s="146"/>
      <c r="F34" s="146"/>
      <c r="G34" s="151" t="s">
        <v>1209</v>
      </c>
      <c r="H34" s="49"/>
      <c r="I34" s="49"/>
      <c r="J34" s="169">
        <f>(J32-K32)/ABS(K32)</f>
        <v>0.13256628314157079</v>
      </c>
      <c r="K34" s="49"/>
      <c r="L34" s="49"/>
      <c r="M34" s="49"/>
      <c r="N34" s="49"/>
      <c r="O34" s="49"/>
      <c r="P34" s="49"/>
      <c r="Q34" s="49"/>
      <c r="R34" s="49"/>
      <c r="S34" s="50"/>
    </row>
    <row r="35" spans="4:19">
      <c r="D35" s="170" t="s">
        <v>1210</v>
      </c>
      <c r="E35" s="49"/>
      <c r="F35" s="49"/>
      <c r="G35" s="218" t="s">
        <v>1219</v>
      </c>
      <c r="H35" s="49"/>
      <c r="I35" s="49"/>
      <c r="J35" s="221">
        <f>J32-S32</f>
        <v>-68</v>
      </c>
      <c r="K35" s="49"/>
      <c r="L35" s="49"/>
      <c r="M35" s="49"/>
      <c r="N35" s="49"/>
      <c r="O35" s="49"/>
      <c r="P35" s="49"/>
      <c r="Q35" s="49"/>
      <c r="R35" s="49"/>
      <c r="S35" s="50"/>
    </row>
    <row r="36" spans="4:19">
      <c r="D36" s="154" t="s">
        <v>1182</v>
      </c>
      <c r="E36" s="51"/>
      <c r="F36" s="51"/>
      <c r="G36" s="186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2"/>
    </row>
  </sheetData>
  <mergeCells count="1">
    <mergeCell ref="D1:S1"/>
  </mergeCells>
  <printOptions horizontalCentered="1"/>
  <pageMargins left="0.7" right="0.7" top="0.75" bottom="0.75" header="0.3" footer="0.3"/>
  <pageSetup scale="68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 enableFormatConditionsCalculation="0">
    <pageSetUpPr fitToPage="1"/>
  </sheetPr>
  <dimension ref="A1:S32"/>
  <sheetViews>
    <sheetView topLeftCell="D1" workbookViewId="0">
      <selection activeCell="J31" sqref="J31"/>
    </sheetView>
  </sheetViews>
  <sheetFormatPr baseColWidth="10" defaultColWidth="8.83203125" defaultRowHeight="14" x14ac:dyDescent="0"/>
  <cols>
    <col min="1" max="1" width="13.1640625" style="3" hidden="1" customWidth="1"/>
    <col min="2" max="2" width="7.5" style="3" hidden="1" customWidth="1"/>
    <col min="3" max="3" width="8.1640625" style="3" hidden="1" customWidth="1"/>
    <col min="4" max="4" width="40.5" style="3" customWidth="1"/>
    <col min="5" max="5" width="14.33203125" style="3" bestFit="1" customWidth="1"/>
    <col min="6" max="6" width="10" style="3" bestFit="1" customWidth="1"/>
    <col min="7" max="7" width="23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Waco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68</v>
      </c>
      <c r="B5" s="5" t="s">
        <v>1015</v>
      </c>
      <c r="C5" s="67">
        <v>1061886</v>
      </c>
      <c r="D5" s="70" t="s">
        <v>1053</v>
      </c>
      <c r="E5" s="5" t="s">
        <v>1015</v>
      </c>
      <c r="F5" s="5" t="s">
        <v>1148</v>
      </c>
      <c r="G5" s="5" t="s">
        <v>1052</v>
      </c>
      <c r="H5" s="149">
        <f>(J5-K5)/ABS(K5)</f>
        <v>-0.15384615384615385</v>
      </c>
      <c r="I5" s="150">
        <f>J5-K5</f>
        <v>-10</v>
      </c>
      <c r="J5" s="4">
        <v>55</v>
      </c>
      <c r="K5" s="4">
        <v>65</v>
      </c>
      <c r="L5" s="4">
        <v>54</v>
      </c>
      <c r="M5" s="4">
        <v>54</v>
      </c>
      <c r="N5" s="4">
        <v>54</v>
      </c>
      <c r="O5" s="4">
        <v>54</v>
      </c>
      <c r="P5" s="4">
        <v>57</v>
      </c>
      <c r="Q5" s="4">
        <v>57</v>
      </c>
      <c r="R5" s="4">
        <v>45</v>
      </c>
      <c r="S5" s="71">
        <v>45</v>
      </c>
    </row>
    <row r="6" spans="1:19">
      <c r="A6" s="5" t="s">
        <v>68</v>
      </c>
      <c r="B6" s="5" t="s">
        <v>1015</v>
      </c>
      <c r="C6" s="67">
        <v>1061563</v>
      </c>
      <c r="D6" s="70" t="s">
        <v>25</v>
      </c>
      <c r="E6" s="5" t="s">
        <v>1029</v>
      </c>
      <c r="F6" s="5" t="s">
        <v>1147</v>
      </c>
      <c r="G6" s="5" t="s">
        <v>1051</v>
      </c>
      <c r="H6" s="58">
        <f t="shared" ref="H6:H27" si="0">(J6-K6)/ABS(K6)</f>
        <v>0</v>
      </c>
      <c r="I6" s="59">
        <f t="shared" ref="I6:I27" si="1">J6-K6</f>
        <v>0</v>
      </c>
      <c r="J6" s="4">
        <v>20</v>
      </c>
      <c r="K6" s="4">
        <v>20</v>
      </c>
      <c r="L6" s="4">
        <v>20</v>
      </c>
      <c r="M6" s="4">
        <v>18</v>
      </c>
      <c r="N6" s="4">
        <v>20</v>
      </c>
      <c r="O6" s="4">
        <v>30</v>
      </c>
      <c r="P6" s="4">
        <v>23</v>
      </c>
      <c r="Q6" s="4">
        <v>25</v>
      </c>
      <c r="R6" s="4">
        <v>18</v>
      </c>
      <c r="S6" s="71">
        <v>16</v>
      </c>
    </row>
    <row r="7" spans="1:19">
      <c r="A7" s="5" t="s">
        <v>68</v>
      </c>
      <c r="B7" s="5" t="s">
        <v>1015</v>
      </c>
      <c r="C7" s="67">
        <v>1061571</v>
      </c>
      <c r="D7" s="70" t="s">
        <v>1043</v>
      </c>
      <c r="E7" s="5" t="s">
        <v>17</v>
      </c>
      <c r="F7" s="5" t="s">
        <v>1149</v>
      </c>
      <c r="G7" s="5" t="s">
        <v>1041</v>
      </c>
      <c r="H7" s="149">
        <f t="shared" si="0"/>
        <v>-1</v>
      </c>
      <c r="I7" s="150">
        <f t="shared" si="1"/>
        <v>-59</v>
      </c>
      <c r="J7" s="4">
        <v>0</v>
      </c>
      <c r="K7" s="4">
        <v>59</v>
      </c>
      <c r="L7" s="4">
        <v>65</v>
      </c>
      <c r="M7" s="4">
        <v>65</v>
      </c>
      <c r="N7" s="4">
        <v>85</v>
      </c>
      <c r="O7" s="4">
        <v>85</v>
      </c>
      <c r="P7" s="4">
        <v>100</v>
      </c>
      <c r="Q7" s="4">
        <v>97</v>
      </c>
      <c r="R7" s="4">
        <v>67</v>
      </c>
      <c r="S7" s="71">
        <v>120</v>
      </c>
    </row>
    <row r="8" spans="1:19">
      <c r="A8" s="5" t="s">
        <v>68</v>
      </c>
      <c r="B8" s="5" t="s">
        <v>1015</v>
      </c>
      <c r="C8" s="67">
        <v>1061589</v>
      </c>
      <c r="D8" s="70" t="s">
        <v>25</v>
      </c>
      <c r="E8" s="5" t="s">
        <v>17</v>
      </c>
      <c r="F8" s="5" t="s">
        <v>1148</v>
      </c>
      <c r="G8" s="5" t="s">
        <v>1050</v>
      </c>
      <c r="H8" s="58">
        <f t="shared" si="0"/>
        <v>0</v>
      </c>
      <c r="I8" s="59">
        <f t="shared" si="1"/>
        <v>0</v>
      </c>
      <c r="J8" s="4">
        <v>75</v>
      </c>
      <c r="K8" s="4">
        <v>75</v>
      </c>
      <c r="L8" s="4">
        <v>110</v>
      </c>
      <c r="M8" s="4">
        <v>73</v>
      </c>
      <c r="N8" s="4">
        <v>70</v>
      </c>
      <c r="O8" s="4">
        <v>79</v>
      </c>
      <c r="P8" s="4">
        <v>101</v>
      </c>
      <c r="Q8" s="4">
        <v>100</v>
      </c>
      <c r="R8" s="4">
        <v>100</v>
      </c>
      <c r="S8" s="71">
        <v>125</v>
      </c>
    </row>
    <row r="9" spans="1:19">
      <c r="A9" s="5" t="s">
        <v>68</v>
      </c>
      <c r="B9" s="5" t="s">
        <v>1015</v>
      </c>
      <c r="C9" s="67">
        <v>1061597</v>
      </c>
      <c r="D9" s="70" t="s">
        <v>1049</v>
      </c>
      <c r="E9" s="5" t="s">
        <v>1048</v>
      </c>
      <c r="F9" s="5" t="s">
        <v>1148</v>
      </c>
      <c r="G9" s="5" t="s">
        <v>1047</v>
      </c>
      <c r="H9" s="58">
        <f t="shared" si="0"/>
        <v>0</v>
      </c>
      <c r="I9" s="59">
        <f t="shared" si="1"/>
        <v>0</v>
      </c>
      <c r="J9" s="4">
        <v>105</v>
      </c>
      <c r="K9" s="4">
        <v>105</v>
      </c>
      <c r="L9" s="4">
        <v>110</v>
      </c>
      <c r="M9" s="4">
        <v>122</v>
      </c>
      <c r="N9" s="4">
        <v>125</v>
      </c>
      <c r="O9" s="4">
        <v>125</v>
      </c>
      <c r="P9" s="4">
        <v>125</v>
      </c>
      <c r="Q9" s="4">
        <v>121</v>
      </c>
      <c r="R9" s="4">
        <v>116</v>
      </c>
      <c r="S9" s="71">
        <v>105</v>
      </c>
    </row>
    <row r="10" spans="1:19">
      <c r="A10" s="5" t="s">
        <v>68</v>
      </c>
      <c r="B10" s="5" t="s">
        <v>1015</v>
      </c>
      <c r="C10" s="67">
        <v>1061605</v>
      </c>
      <c r="D10" s="70" t="s">
        <v>25</v>
      </c>
      <c r="E10" s="5" t="s">
        <v>1046</v>
      </c>
      <c r="F10" s="5" t="s">
        <v>1147</v>
      </c>
      <c r="G10" s="5" t="s">
        <v>1045</v>
      </c>
      <c r="H10" s="17">
        <f t="shared" si="0"/>
        <v>4.6153846153846156E-2</v>
      </c>
      <c r="I10" s="5">
        <f t="shared" si="1"/>
        <v>3</v>
      </c>
      <c r="J10" s="4">
        <v>68</v>
      </c>
      <c r="K10" s="4">
        <v>65</v>
      </c>
      <c r="L10" s="4">
        <v>70</v>
      </c>
      <c r="M10" s="4">
        <v>70</v>
      </c>
      <c r="N10" s="4">
        <v>81</v>
      </c>
      <c r="O10" s="4">
        <v>69</v>
      </c>
      <c r="P10" s="4">
        <v>56</v>
      </c>
      <c r="Q10" s="4">
        <v>50</v>
      </c>
      <c r="R10" s="4">
        <v>50</v>
      </c>
      <c r="S10" s="71">
        <v>63</v>
      </c>
    </row>
    <row r="11" spans="1:19">
      <c r="A11" s="5" t="s">
        <v>68</v>
      </c>
      <c r="B11" s="5" t="s">
        <v>1015</v>
      </c>
      <c r="C11" s="67">
        <v>1061506</v>
      </c>
      <c r="D11" s="70" t="s">
        <v>55</v>
      </c>
      <c r="E11" s="5" t="s">
        <v>1018</v>
      </c>
      <c r="F11" s="5" t="s">
        <v>1148</v>
      </c>
      <c r="G11" s="5" t="s">
        <v>1017</v>
      </c>
      <c r="H11" s="17">
        <f t="shared" si="0"/>
        <v>3.896103896103896E-2</v>
      </c>
      <c r="I11" s="5">
        <f t="shared" si="1"/>
        <v>30</v>
      </c>
      <c r="J11" s="148">
        <v>800</v>
      </c>
      <c r="K11" s="4">
        <v>770</v>
      </c>
      <c r="L11" s="4">
        <v>701</v>
      </c>
      <c r="M11" s="4">
        <v>612</v>
      </c>
      <c r="N11" s="4">
        <v>581</v>
      </c>
      <c r="O11" s="4">
        <v>561</v>
      </c>
      <c r="P11" s="4">
        <v>538</v>
      </c>
      <c r="Q11" s="4">
        <v>520</v>
      </c>
      <c r="R11" s="4">
        <v>497</v>
      </c>
      <c r="S11" s="71">
        <v>500</v>
      </c>
    </row>
    <row r="12" spans="1:19">
      <c r="A12" s="5" t="s">
        <v>68</v>
      </c>
      <c r="B12" s="5" t="s">
        <v>1015</v>
      </c>
      <c r="C12" s="67">
        <v>1061514</v>
      </c>
      <c r="D12" s="70" t="s">
        <v>62</v>
      </c>
      <c r="E12" s="5" t="s">
        <v>1018</v>
      </c>
      <c r="F12" s="5" t="s">
        <v>1147</v>
      </c>
      <c r="G12" s="5" t="s">
        <v>1044</v>
      </c>
      <c r="H12" s="58">
        <f t="shared" si="0"/>
        <v>0</v>
      </c>
      <c r="I12" s="59">
        <f t="shared" si="1"/>
        <v>0</v>
      </c>
      <c r="J12" s="4">
        <v>20</v>
      </c>
      <c r="K12" s="4">
        <v>20</v>
      </c>
      <c r="L12" s="4">
        <v>20</v>
      </c>
      <c r="M12" s="4">
        <v>20</v>
      </c>
      <c r="N12" s="4">
        <v>20</v>
      </c>
      <c r="O12" s="4">
        <v>20</v>
      </c>
      <c r="P12" s="4">
        <v>15</v>
      </c>
      <c r="Q12" s="4">
        <v>15</v>
      </c>
      <c r="R12" s="4">
        <v>15</v>
      </c>
      <c r="S12" s="71">
        <v>17</v>
      </c>
    </row>
    <row r="13" spans="1:19">
      <c r="A13" s="5" t="s">
        <v>68</v>
      </c>
      <c r="B13" s="5" t="s">
        <v>1015</v>
      </c>
      <c r="C13" s="67">
        <v>1061522</v>
      </c>
      <c r="D13" s="70" t="s">
        <v>1043</v>
      </c>
      <c r="E13" s="5" t="s">
        <v>1042</v>
      </c>
      <c r="F13" s="5" t="s">
        <v>1148</v>
      </c>
      <c r="G13" s="5" t="s">
        <v>1041</v>
      </c>
      <c r="H13" s="147">
        <f t="shared" si="0"/>
        <v>0.32280701754385965</v>
      </c>
      <c r="I13" s="173">
        <f t="shared" si="1"/>
        <v>92</v>
      </c>
      <c r="J13" s="4">
        <v>377</v>
      </c>
      <c r="K13" s="4">
        <v>285</v>
      </c>
      <c r="L13" s="4">
        <v>325</v>
      </c>
      <c r="M13" s="4">
        <v>400</v>
      </c>
      <c r="N13" s="4">
        <v>400</v>
      </c>
      <c r="O13" s="4">
        <v>375</v>
      </c>
      <c r="P13" s="4">
        <v>340</v>
      </c>
      <c r="Q13" s="4">
        <v>300</v>
      </c>
      <c r="R13" s="4">
        <v>250</v>
      </c>
      <c r="S13" s="71">
        <v>350</v>
      </c>
    </row>
    <row r="14" spans="1:19">
      <c r="A14" s="5" t="s">
        <v>68</v>
      </c>
      <c r="B14" s="5" t="s">
        <v>1015</v>
      </c>
      <c r="C14" s="67">
        <v>1061712</v>
      </c>
      <c r="D14" s="70" t="s">
        <v>25</v>
      </c>
      <c r="E14" s="5" t="s">
        <v>1040</v>
      </c>
      <c r="F14" s="5" t="s">
        <v>1148</v>
      </c>
      <c r="G14" s="5" t="s">
        <v>3</v>
      </c>
      <c r="H14" s="149">
        <f t="shared" si="0"/>
        <v>-0.14285714285714285</v>
      </c>
      <c r="I14" s="150">
        <f t="shared" si="1"/>
        <v>-5</v>
      </c>
      <c r="J14" s="4">
        <v>30</v>
      </c>
      <c r="K14" s="4">
        <v>35</v>
      </c>
      <c r="L14" s="4">
        <v>39</v>
      </c>
      <c r="M14" s="4">
        <v>40</v>
      </c>
      <c r="N14" s="4">
        <v>35</v>
      </c>
      <c r="O14" s="4">
        <v>31</v>
      </c>
      <c r="P14" s="4">
        <v>34</v>
      </c>
      <c r="Q14" s="4">
        <v>50</v>
      </c>
      <c r="R14" s="4">
        <v>50</v>
      </c>
      <c r="S14" s="71">
        <v>50</v>
      </c>
    </row>
    <row r="15" spans="1:19">
      <c r="A15" s="5" t="s">
        <v>68</v>
      </c>
      <c r="B15" s="5" t="s">
        <v>1015</v>
      </c>
      <c r="C15" s="67">
        <v>1061548</v>
      </c>
      <c r="D15" s="70" t="s">
        <v>25</v>
      </c>
      <c r="E15" s="5" t="s">
        <v>1029</v>
      </c>
      <c r="F15" s="5" t="s">
        <v>1148</v>
      </c>
      <c r="G15" s="5" t="s">
        <v>1039</v>
      </c>
      <c r="H15" s="174">
        <f t="shared" si="0"/>
        <v>0.1111111111111111</v>
      </c>
      <c r="I15" s="173">
        <f t="shared" si="1"/>
        <v>10</v>
      </c>
      <c r="J15" s="4">
        <v>100</v>
      </c>
      <c r="K15" s="4">
        <v>90</v>
      </c>
      <c r="L15" s="4">
        <v>110</v>
      </c>
      <c r="M15" s="4">
        <v>175</v>
      </c>
      <c r="N15" s="4">
        <v>200</v>
      </c>
      <c r="O15" s="4">
        <v>200</v>
      </c>
      <c r="P15" s="4">
        <v>250</v>
      </c>
      <c r="Q15" s="4">
        <v>225</v>
      </c>
      <c r="R15" s="4">
        <v>200</v>
      </c>
      <c r="S15" s="71">
        <v>200</v>
      </c>
    </row>
    <row r="16" spans="1:19">
      <c r="A16" s="5" t="s">
        <v>68</v>
      </c>
      <c r="B16" s="5" t="s">
        <v>1015</v>
      </c>
      <c r="C16" s="67">
        <v>1061878</v>
      </c>
      <c r="D16" s="70" t="s">
        <v>25</v>
      </c>
      <c r="E16" s="5" t="s">
        <v>1015</v>
      </c>
      <c r="F16" s="5" t="s">
        <v>1148</v>
      </c>
      <c r="G16" s="5" t="s">
        <v>1038</v>
      </c>
      <c r="H16" s="58">
        <f t="shared" si="0"/>
        <v>0</v>
      </c>
      <c r="I16" s="59">
        <f t="shared" si="1"/>
        <v>0</v>
      </c>
      <c r="J16" s="4">
        <v>160</v>
      </c>
      <c r="K16" s="4">
        <v>160</v>
      </c>
      <c r="L16" s="4">
        <v>160</v>
      </c>
      <c r="M16" s="4">
        <v>160</v>
      </c>
      <c r="N16" s="4">
        <v>160</v>
      </c>
      <c r="O16" s="4">
        <v>160</v>
      </c>
      <c r="P16" s="4">
        <v>155</v>
      </c>
      <c r="Q16" s="4">
        <v>96</v>
      </c>
      <c r="R16" s="4">
        <v>96</v>
      </c>
      <c r="S16" s="71">
        <v>94</v>
      </c>
    </row>
    <row r="17" spans="1:19">
      <c r="A17" s="5" t="s">
        <v>68</v>
      </c>
      <c r="B17" s="5" t="s">
        <v>1015</v>
      </c>
      <c r="C17" s="67">
        <v>1049709</v>
      </c>
      <c r="D17" s="70" t="s">
        <v>139</v>
      </c>
      <c r="E17" s="5" t="s">
        <v>1037</v>
      </c>
      <c r="F17" s="5" t="s">
        <v>1147</v>
      </c>
      <c r="G17" s="5" t="s">
        <v>1036</v>
      </c>
      <c r="H17" s="149">
        <f t="shared" si="0"/>
        <v>-5.5555555555555552E-2</v>
      </c>
      <c r="I17" s="150">
        <f t="shared" si="1"/>
        <v>-4</v>
      </c>
      <c r="J17" s="4">
        <v>68</v>
      </c>
      <c r="K17" s="4">
        <v>72</v>
      </c>
      <c r="L17" s="4">
        <v>76</v>
      </c>
      <c r="M17" s="4">
        <v>79</v>
      </c>
      <c r="N17" s="4">
        <v>78</v>
      </c>
      <c r="O17" s="4">
        <v>81</v>
      </c>
      <c r="P17" s="4">
        <v>78</v>
      </c>
      <c r="Q17" s="4">
        <v>72</v>
      </c>
      <c r="R17" s="4">
        <v>83</v>
      </c>
      <c r="S17" s="71">
        <v>78</v>
      </c>
    </row>
    <row r="18" spans="1:19">
      <c r="A18" s="5" t="s">
        <v>68</v>
      </c>
      <c r="B18" s="5" t="s">
        <v>1015</v>
      </c>
      <c r="C18" s="67">
        <v>1088640</v>
      </c>
      <c r="D18" s="70" t="s">
        <v>1035</v>
      </c>
      <c r="E18" s="5" t="s">
        <v>1015</v>
      </c>
      <c r="F18" s="5" t="s">
        <v>1148</v>
      </c>
      <c r="G18" s="5" t="s">
        <v>1034</v>
      </c>
      <c r="H18" s="149">
        <f t="shared" si="0"/>
        <v>-0.125</v>
      </c>
      <c r="I18" s="150">
        <f t="shared" si="1"/>
        <v>-15</v>
      </c>
      <c r="J18" s="4">
        <v>105</v>
      </c>
      <c r="K18" s="4">
        <v>120</v>
      </c>
      <c r="L18" s="4">
        <v>120</v>
      </c>
      <c r="M18" s="4">
        <v>130</v>
      </c>
      <c r="N18" s="4">
        <v>150</v>
      </c>
      <c r="O18" s="4">
        <v>150</v>
      </c>
      <c r="P18" s="4">
        <v>150</v>
      </c>
      <c r="Q18" s="4">
        <v>150</v>
      </c>
      <c r="R18" s="4">
        <v>135</v>
      </c>
      <c r="S18" s="71">
        <v>135</v>
      </c>
    </row>
    <row r="19" spans="1:19">
      <c r="A19" s="5" t="s">
        <v>68</v>
      </c>
      <c r="B19" s="5" t="s">
        <v>1015</v>
      </c>
      <c r="C19" s="67">
        <v>1105303</v>
      </c>
      <c r="D19" s="70" t="s">
        <v>25</v>
      </c>
      <c r="E19" s="5" t="s">
        <v>1027</v>
      </c>
      <c r="F19" s="5" t="s">
        <v>1148</v>
      </c>
      <c r="G19" s="5" t="s">
        <v>1033</v>
      </c>
      <c r="H19" s="58">
        <f t="shared" si="0"/>
        <v>0</v>
      </c>
      <c r="I19" s="59">
        <f t="shared" si="1"/>
        <v>0</v>
      </c>
      <c r="J19" s="4">
        <v>47</v>
      </c>
      <c r="K19" s="4">
        <v>47</v>
      </c>
      <c r="L19" s="4">
        <v>40</v>
      </c>
      <c r="M19" s="4">
        <v>45</v>
      </c>
      <c r="N19" s="4">
        <v>45</v>
      </c>
      <c r="O19" s="4">
        <v>45</v>
      </c>
      <c r="P19" s="4">
        <v>45</v>
      </c>
      <c r="Q19" s="4">
        <v>40</v>
      </c>
      <c r="R19" s="4">
        <v>40</v>
      </c>
      <c r="S19" s="71">
        <v>60</v>
      </c>
    </row>
    <row r="20" spans="1:19">
      <c r="A20" s="5" t="s">
        <v>68</v>
      </c>
      <c r="B20" s="5" t="s">
        <v>1015</v>
      </c>
      <c r="C20" s="67">
        <v>1119635</v>
      </c>
      <c r="D20" s="70" t="s">
        <v>147</v>
      </c>
      <c r="E20" s="5" t="s">
        <v>1032</v>
      </c>
      <c r="F20" s="5" t="s">
        <v>1147</v>
      </c>
      <c r="G20" s="5" t="s">
        <v>1031</v>
      </c>
      <c r="H20" s="149">
        <f t="shared" si="0"/>
        <v>-5.8823529411764705E-2</v>
      </c>
      <c r="I20" s="150">
        <f t="shared" si="1"/>
        <v>-1</v>
      </c>
      <c r="J20" s="4">
        <v>16</v>
      </c>
      <c r="K20" s="4">
        <v>17</v>
      </c>
      <c r="L20" s="4">
        <v>18</v>
      </c>
      <c r="M20" s="4">
        <v>26</v>
      </c>
      <c r="N20" s="4">
        <v>35</v>
      </c>
      <c r="O20" s="4">
        <v>35</v>
      </c>
      <c r="P20" s="4">
        <v>25</v>
      </c>
      <c r="Q20" s="4">
        <v>25</v>
      </c>
      <c r="R20" s="4">
        <v>20</v>
      </c>
      <c r="S20" s="71">
        <v>22</v>
      </c>
    </row>
    <row r="21" spans="1:19">
      <c r="A21" s="5" t="s">
        <v>68</v>
      </c>
      <c r="B21" s="5" t="s">
        <v>1015</v>
      </c>
      <c r="C21" s="67">
        <v>1127695</v>
      </c>
      <c r="D21" s="70" t="s">
        <v>1030</v>
      </c>
      <c r="E21" s="5" t="s">
        <v>1029</v>
      </c>
      <c r="F21" s="5" t="s">
        <v>1147</v>
      </c>
      <c r="G21" s="5" t="s">
        <v>1028</v>
      </c>
      <c r="H21" s="17">
        <f t="shared" si="0"/>
        <v>9.0909090909090912E-2</v>
      </c>
      <c r="I21" s="5">
        <f t="shared" si="1"/>
        <v>5</v>
      </c>
      <c r="J21" s="4">
        <v>60</v>
      </c>
      <c r="K21" s="4">
        <v>55</v>
      </c>
      <c r="L21" s="4">
        <v>50</v>
      </c>
      <c r="M21" s="4">
        <v>45</v>
      </c>
      <c r="N21" s="4">
        <v>45</v>
      </c>
      <c r="O21" s="4">
        <v>45</v>
      </c>
      <c r="P21" s="4">
        <v>55</v>
      </c>
      <c r="Q21" s="4">
        <v>55</v>
      </c>
      <c r="R21" s="4">
        <v>55</v>
      </c>
      <c r="S21" s="71">
        <v>80</v>
      </c>
    </row>
    <row r="22" spans="1:19">
      <c r="A22" s="5" t="s">
        <v>68</v>
      </c>
      <c r="B22" s="5" t="s">
        <v>1015</v>
      </c>
      <c r="C22" s="67">
        <v>1133644</v>
      </c>
      <c r="D22" s="70" t="s">
        <v>133</v>
      </c>
      <c r="E22" s="5" t="s">
        <v>1027</v>
      </c>
      <c r="F22" s="5" t="s">
        <v>1148</v>
      </c>
      <c r="G22" s="5" t="s">
        <v>1026</v>
      </c>
      <c r="H22" s="58">
        <f t="shared" si="0"/>
        <v>0</v>
      </c>
      <c r="I22" s="59">
        <f t="shared" si="1"/>
        <v>0</v>
      </c>
      <c r="J22" s="4">
        <v>207</v>
      </c>
      <c r="K22" s="4">
        <v>207</v>
      </c>
      <c r="L22" s="4">
        <v>226</v>
      </c>
      <c r="M22" s="4">
        <v>160</v>
      </c>
      <c r="N22" s="4">
        <v>136</v>
      </c>
      <c r="O22" s="4">
        <v>136</v>
      </c>
      <c r="P22" s="4">
        <v>136</v>
      </c>
      <c r="Q22" s="4">
        <v>136</v>
      </c>
      <c r="R22" s="4">
        <v>115</v>
      </c>
      <c r="S22" s="71">
        <v>109</v>
      </c>
    </row>
    <row r="23" spans="1:19">
      <c r="A23" s="5" t="s">
        <v>68</v>
      </c>
      <c r="B23" s="5" t="s">
        <v>1015</v>
      </c>
      <c r="C23" s="67">
        <v>1137702</v>
      </c>
      <c r="D23" s="70" t="s">
        <v>1177</v>
      </c>
      <c r="E23" s="5" t="s">
        <v>1025</v>
      </c>
      <c r="F23" s="5" t="s">
        <v>1148</v>
      </c>
      <c r="G23" s="5" t="s">
        <v>1024</v>
      </c>
      <c r="H23" s="174">
        <f t="shared" si="0"/>
        <v>0.25850340136054423</v>
      </c>
      <c r="I23" s="173">
        <f t="shared" si="1"/>
        <v>38</v>
      </c>
      <c r="J23" s="4">
        <v>185</v>
      </c>
      <c r="K23" s="4">
        <v>147</v>
      </c>
      <c r="L23" s="4">
        <v>125</v>
      </c>
      <c r="M23" s="4">
        <v>127</v>
      </c>
      <c r="N23" s="4">
        <v>116</v>
      </c>
      <c r="O23" s="4">
        <v>80</v>
      </c>
      <c r="P23" s="4">
        <v>85</v>
      </c>
      <c r="Q23" s="4">
        <v>50</v>
      </c>
      <c r="R23" s="4">
        <v>48</v>
      </c>
      <c r="S23" s="71">
        <v>60</v>
      </c>
    </row>
    <row r="24" spans="1:19">
      <c r="A24" s="5" t="s">
        <v>68</v>
      </c>
      <c r="B24" s="5" t="s">
        <v>1015</v>
      </c>
      <c r="C24" s="67">
        <v>1512821</v>
      </c>
      <c r="D24" s="70" t="s">
        <v>1023</v>
      </c>
      <c r="E24" s="5" t="s">
        <v>1015</v>
      </c>
      <c r="F24" s="5" t="s">
        <v>1148</v>
      </c>
      <c r="G24" s="5" t="s">
        <v>1022</v>
      </c>
      <c r="H24" s="17">
        <f t="shared" si="0"/>
        <v>1.1111111111111112E-2</v>
      </c>
      <c r="I24" s="5">
        <f t="shared" si="1"/>
        <v>5</v>
      </c>
      <c r="J24" s="4">
        <v>455</v>
      </c>
      <c r="K24" s="4">
        <v>450</v>
      </c>
      <c r="L24" s="4">
        <v>450</v>
      </c>
      <c r="M24" s="4">
        <v>450</v>
      </c>
      <c r="N24" s="4">
        <v>450</v>
      </c>
      <c r="O24" s="4">
        <v>425</v>
      </c>
      <c r="P24" s="4">
        <v>425</v>
      </c>
      <c r="Q24" s="4">
        <v>400</v>
      </c>
      <c r="R24" s="4">
        <v>300</v>
      </c>
      <c r="S24" s="71">
        <v>300</v>
      </c>
    </row>
    <row r="25" spans="1:19">
      <c r="A25" s="5" t="s">
        <v>68</v>
      </c>
      <c r="B25" s="5" t="s">
        <v>1015</v>
      </c>
      <c r="C25" s="67">
        <v>1759901</v>
      </c>
      <c r="D25" s="70" t="s">
        <v>25</v>
      </c>
      <c r="E25" s="5" t="s">
        <v>1021</v>
      </c>
      <c r="F25" s="5" t="s">
        <v>1147</v>
      </c>
      <c r="G25" s="5" t="s">
        <v>1020</v>
      </c>
      <c r="H25" s="149">
        <f t="shared" si="0"/>
        <v>-0.22222222222222221</v>
      </c>
      <c r="I25" s="150">
        <f t="shared" si="1"/>
        <v>-10</v>
      </c>
      <c r="J25" s="4">
        <v>35</v>
      </c>
      <c r="K25" s="4">
        <v>45</v>
      </c>
      <c r="L25" s="4">
        <v>75</v>
      </c>
      <c r="M25" s="4">
        <v>75</v>
      </c>
      <c r="N25" s="4">
        <v>85</v>
      </c>
      <c r="O25" s="4">
        <v>100</v>
      </c>
      <c r="P25" s="4">
        <v>85</v>
      </c>
      <c r="Q25" s="4">
        <v>100</v>
      </c>
      <c r="R25" s="4">
        <v>85</v>
      </c>
      <c r="S25" s="71">
        <v>80</v>
      </c>
    </row>
    <row r="26" spans="1:19">
      <c r="A26" s="5" t="s">
        <v>68</v>
      </c>
      <c r="B26" s="5" t="s">
        <v>1015</v>
      </c>
      <c r="C26" s="67">
        <v>1770114</v>
      </c>
      <c r="D26" s="70" t="s">
        <v>1019</v>
      </c>
      <c r="E26" s="5" t="s">
        <v>1018</v>
      </c>
      <c r="F26" s="5" t="s">
        <v>1149</v>
      </c>
      <c r="G26" s="5" t="s">
        <v>1017</v>
      </c>
      <c r="H26" s="17" t="s">
        <v>1154</v>
      </c>
      <c r="I26" s="5">
        <f t="shared" si="1"/>
        <v>0</v>
      </c>
      <c r="J26" s="4">
        <v>0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A27" s="5" t="s">
        <v>68</v>
      </c>
      <c r="B27" s="5" t="s">
        <v>1015</v>
      </c>
      <c r="C27" s="67">
        <v>1061845</v>
      </c>
      <c r="D27" s="70" t="s">
        <v>1016</v>
      </c>
      <c r="E27" s="5" t="s">
        <v>1015</v>
      </c>
      <c r="F27" s="5" t="s">
        <v>1148</v>
      </c>
      <c r="G27" s="5" t="s">
        <v>1014</v>
      </c>
      <c r="H27" s="58">
        <f t="shared" si="0"/>
        <v>0</v>
      </c>
      <c r="I27" s="59">
        <f t="shared" si="1"/>
        <v>0</v>
      </c>
      <c r="J27" s="54">
        <v>135</v>
      </c>
      <c r="K27" s="54">
        <v>135</v>
      </c>
      <c r="L27" s="54">
        <v>135</v>
      </c>
      <c r="M27" s="54">
        <v>135</v>
      </c>
      <c r="N27" s="54">
        <v>135</v>
      </c>
      <c r="O27" s="54">
        <v>135</v>
      </c>
      <c r="P27" s="54">
        <v>125</v>
      </c>
      <c r="Q27" s="54">
        <v>125</v>
      </c>
      <c r="R27" s="54">
        <v>200</v>
      </c>
      <c r="S27" s="145">
        <v>175</v>
      </c>
    </row>
    <row r="28" spans="1:19" ht="15" thickBot="1">
      <c r="D28" s="72" t="str">
        <f>"Church Count: "&amp;COUNTA(D5:D27)</f>
        <v>Church Count: 23</v>
      </c>
      <c r="E28" s="49"/>
      <c r="F28" s="49"/>
      <c r="G28" s="151" t="s">
        <v>1207</v>
      </c>
      <c r="H28" s="49"/>
      <c r="I28" s="49"/>
      <c r="J28" s="197">
        <f t="shared" ref="J28:S28" si="2">SUM(J5:J27)</f>
        <v>3123</v>
      </c>
      <c r="K28" s="197">
        <f t="shared" si="2"/>
        <v>3044</v>
      </c>
      <c r="L28" s="197">
        <f t="shared" si="2"/>
        <v>3099</v>
      </c>
      <c r="M28" s="197">
        <f t="shared" si="2"/>
        <v>3081</v>
      </c>
      <c r="N28" s="197">
        <f t="shared" si="2"/>
        <v>3106</v>
      </c>
      <c r="O28" s="197">
        <f t="shared" si="2"/>
        <v>3021</v>
      </c>
      <c r="P28" s="197">
        <f t="shared" si="2"/>
        <v>3003</v>
      </c>
      <c r="Q28" s="197">
        <f t="shared" si="2"/>
        <v>2809</v>
      </c>
      <c r="R28" s="197">
        <f t="shared" si="2"/>
        <v>2585</v>
      </c>
      <c r="S28" s="198">
        <f t="shared" si="2"/>
        <v>2784</v>
      </c>
    </row>
    <row r="29" spans="1:19" ht="15" thickTop="1">
      <c r="D29" s="152" t="s">
        <v>1180</v>
      </c>
      <c r="E29" s="49"/>
      <c r="F29" s="49"/>
      <c r="G29" s="151" t="s">
        <v>1208</v>
      </c>
      <c r="H29" s="49"/>
      <c r="I29" s="49"/>
      <c r="J29" s="49">
        <f>J28-K28</f>
        <v>79</v>
      </c>
      <c r="K29" s="49"/>
      <c r="L29" s="49"/>
      <c r="M29" s="49"/>
      <c r="N29" s="49"/>
      <c r="O29" s="49"/>
      <c r="P29" s="49"/>
      <c r="Q29" s="49"/>
      <c r="R29" s="49"/>
      <c r="S29" s="50"/>
    </row>
    <row r="30" spans="1:19">
      <c r="D30" s="153" t="s">
        <v>1181</v>
      </c>
      <c r="E30" s="146"/>
      <c r="F30" s="146"/>
      <c r="G30" s="151" t="s">
        <v>1209</v>
      </c>
      <c r="H30" s="49"/>
      <c r="I30" s="49"/>
      <c r="J30" s="169">
        <f>(J28-K28)/ABS(K28)</f>
        <v>2.59526938239159E-2</v>
      </c>
      <c r="K30" s="49"/>
      <c r="L30" s="49"/>
      <c r="M30" s="49"/>
      <c r="N30" s="49"/>
      <c r="O30" s="49"/>
      <c r="P30" s="49"/>
      <c r="Q30" s="49"/>
      <c r="R30" s="49"/>
      <c r="S30" s="50"/>
    </row>
    <row r="31" spans="1:19">
      <c r="D31" s="170" t="s">
        <v>1210</v>
      </c>
      <c r="E31" s="49"/>
      <c r="F31" s="49"/>
      <c r="G31" s="218" t="s">
        <v>1219</v>
      </c>
      <c r="H31" s="49"/>
      <c r="I31" s="49"/>
      <c r="J31" s="222">
        <f>J28-S28</f>
        <v>339</v>
      </c>
      <c r="K31" s="49"/>
      <c r="L31" s="49"/>
      <c r="M31" s="49"/>
      <c r="N31" s="49"/>
      <c r="O31" s="49"/>
      <c r="P31" s="49"/>
      <c r="Q31" s="49"/>
      <c r="R31" s="49"/>
      <c r="S31" s="50"/>
    </row>
    <row r="32" spans="1:19">
      <c r="D32" s="154" t="s">
        <v>1182</v>
      </c>
      <c r="E32" s="51"/>
      <c r="F32" s="51"/>
      <c r="G32" s="186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2"/>
    </row>
  </sheetData>
  <mergeCells count="1">
    <mergeCell ref="D1:S1"/>
  </mergeCells>
  <printOptions horizontalCentered="1"/>
  <pageMargins left="0.7" right="0.7" top="0.75" bottom="0.75" header="0.3" footer="0.3"/>
  <pageSetup scale="71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 enableFormatConditionsCalculation="0">
    <pageSetUpPr fitToPage="1"/>
  </sheetPr>
  <dimension ref="A1:S27"/>
  <sheetViews>
    <sheetView topLeftCell="D1" workbookViewId="0">
      <selection activeCell="J26" sqref="J26"/>
    </sheetView>
  </sheetViews>
  <sheetFormatPr baseColWidth="10" defaultColWidth="8.83203125" defaultRowHeight="14" x14ac:dyDescent="0"/>
  <cols>
    <col min="1" max="1" width="13.1640625" style="3" hidden="1" customWidth="1"/>
    <col min="2" max="2" width="11.6640625" style="3" hidden="1" customWidth="1"/>
    <col min="3" max="3" width="8.1640625" style="3" hidden="1" customWidth="1"/>
    <col min="4" max="4" width="50.83203125" style="3" bestFit="1" customWidth="1"/>
    <col min="5" max="5" width="11.6640625" style="3" bestFit="1" customWidth="1"/>
    <col min="6" max="6" width="10" style="3" bestFit="1" customWidth="1"/>
    <col min="7" max="7" width="20.66406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19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19" ht="23">
      <c r="D2" s="68" t="s">
        <v>1152</v>
      </c>
      <c r="E2" s="69" t="str">
        <f>A5</f>
        <v>South Central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19" ht="23">
      <c r="D3" s="68" t="s">
        <v>1153</v>
      </c>
      <c r="E3" s="69" t="str">
        <f>B5</f>
        <v>Waxahachie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19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19">
      <c r="A5" s="5" t="s">
        <v>68</v>
      </c>
      <c r="B5" s="5" t="s">
        <v>1056</v>
      </c>
      <c r="C5" s="67">
        <v>1085802</v>
      </c>
      <c r="D5" s="70" t="s">
        <v>1092</v>
      </c>
      <c r="E5" s="5" t="s">
        <v>1091</v>
      </c>
      <c r="F5" s="5" t="s">
        <v>1147</v>
      </c>
      <c r="G5" s="5" t="s">
        <v>3</v>
      </c>
      <c r="H5" s="149">
        <f>(J5-K5)/ABS(K5)</f>
        <v>-4.1666666666666664E-2</v>
      </c>
      <c r="I5" s="150">
        <f>J5-K5</f>
        <v>-1</v>
      </c>
      <c r="J5" s="4">
        <v>23</v>
      </c>
      <c r="K5" s="4">
        <v>24</v>
      </c>
      <c r="L5" s="4">
        <v>35</v>
      </c>
      <c r="M5" s="4">
        <v>30</v>
      </c>
      <c r="N5" s="4">
        <v>20</v>
      </c>
      <c r="O5" s="4">
        <v>26</v>
      </c>
      <c r="P5" s="4">
        <v>9</v>
      </c>
      <c r="Q5" s="4">
        <v>12</v>
      </c>
      <c r="R5" s="4">
        <v>8</v>
      </c>
      <c r="S5" s="50"/>
    </row>
    <row r="6" spans="1:19">
      <c r="A6" s="5" t="s">
        <v>68</v>
      </c>
      <c r="B6" s="5" t="s">
        <v>1056</v>
      </c>
      <c r="C6" s="67">
        <v>1057645</v>
      </c>
      <c r="D6" s="70" t="s">
        <v>1090</v>
      </c>
      <c r="E6" s="5" t="s">
        <v>1056</v>
      </c>
      <c r="F6" s="5" t="s">
        <v>1148</v>
      </c>
      <c r="G6" s="5" t="s">
        <v>1089</v>
      </c>
      <c r="H6" s="149">
        <f t="shared" ref="H6:H22" si="0">(J6-K6)/ABS(K6)</f>
        <v>-0.27368421052631581</v>
      </c>
      <c r="I6" s="150">
        <f t="shared" ref="I6:I22" si="1">J6-K6</f>
        <v>-26</v>
      </c>
      <c r="J6" s="4">
        <v>69</v>
      </c>
      <c r="K6" s="4">
        <v>95</v>
      </c>
      <c r="L6" s="4">
        <v>110</v>
      </c>
      <c r="M6" s="4">
        <v>120</v>
      </c>
      <c r="N6" s="4">
        <v>120</v>
      </c>
      <c r="O6" s="4">
        <v>200</v>
      </c>
      <c r="P6" s="4">
        <v>200</v>
      </c>
      <c r="Q6" s="4">
        <v>250</v>
      </c>
      <c r="R6" s="4">
        <v>200</v>
      </c>
      <c r="S6" s="71">
        <v>250</v>
      </c>
    </row>
    <row r="7" spans="1:19">
      <c r="A7" s="5" t="s">
        <v>68</v>
      </c>
      <c r="B7" s="5" t="s">
        <v>1056</v>
      </c>
      <c r="C7" s="67">
        <v>1057363</v>
      </c>
      <c r="D7" s="70" t="s">
        <v>1088</v>
      </c>
      <c r="E7" s="5" t="s">
        <v>101</v>
      </c>
      <c r="F7" s="5" t="s">
        <v>1147</v>
      </c>
      <c r="G7" s="5" t="s">
        <v>1087</v>
      </c>
      <c r="H7" s="147">
        <f t="shared" si="0"/>
        <v>0.93333333333333335</v>
      </c>
      <c r="I7" s="173">
        <f t="shared" si="1"/>
        <v>28</v>
      </c>
      <c r="J7" s="4">
        <v>58</v>
      </c>
      <c r="K7" s="4">
        <v>30</v>
      </c>
      <c r="L7" s="4">
        <v>30</v>
      </c>
      <c r="M7" s="4">
        <v>25</v>
      </c>
      <c r="N7" s="4">
        <v>25</v>
      </c>
      <c r="O7" s="4">
        <v>24</v>
      </c>
      <c r="P7" s="4">
        <v>26</v>
      </c>
      <c r="Q7" s="4">
        <v>31</v>
      </c>
      <c r="R7" s="4">
        <v>33</v>
      </c>
      <c r="S7" s="71">
        <v>28</v>
      </c>
    </row>
    <row r="8" spans="1:19">
      <c r="A8" s="5" t="s">
        <v>68</v>
      </c>
      <c r="B8" s="5" t="s">
        <v>1056</v>
      </c>
      <c r="C8" s="67">
        <v>1057652</v>
      </c>
      <c r="D8" s="70" t="s">
        <v>1086</v>
      </c>
      <c r="E8" s="5" t="s">
        <v>1056</v>
      </c>
      <c r="F8" s="5" t="s">
        <v>1148</v>
      </c>
      <c r="G8" s="5" t="s">
        <v>1085</v>
      </c>
      <c r="H8" s="149">
        <f t="shared" si="0"/>
        <v>-0.12666666666666668</v>
      </c>
      <c r="I8" s="150">
        <f t="shared" si="1"/>
        <v>-19</v>
      </c>
      <c r="J8" s="4">
        <v>131</v>
      </c>
      <c r="K8" s="4">
        <v>150</v>
      </c>
      <c r="L8" s="4">
        <v>170</v>
      </c>
      <c r="M8" s="4">
        <v>195</v>
      </c>
      <c r="N8" s="4">
        <v>195</v>
      </c>
      <c r="O8" s="4">
        <v>190</v>
      </c>
      <c r="P8" s="4">
        <v>205</v>
      </c>
      <c r="Q8" s="4">
        <v>140</v>
      </c>
      <c r="R8" s="4">
        <v>136</v>
      </c>
      <c r="S8" s="71">
        <v>136</v>
      </c>
    </row>
    <row r="9" spans="1:19">
      <c r="A9" s="5" t="s">
        <v>68</v>
      </c>
      <c r="B9" s="5" t="s">
        <v>1056</v>
      </c>
      <c r="C9" s="67">
        <v>1057678</v>
      </c>
      <c r="D9" s="70" t="s">
        <v>1084</v>
      </c>
      <c r="E9" s="5" t="s">
        <v>1056</v>
      </c>
      <c r="F9" s="5" t="s">
        <v>1147</v>
      </c>
      <c r="G9" s="5" t="s">
        <v>1083</v>
      </c>
      <c r="H9" s="17">
        <f t="shared" si="0"/>
        <v>5.5555555555555552E-2</v>
      </c>
      <c r="I9" s="5">
        <f t="shared" si="1"/>
        <v>5</v>
      </c>
      <c r="J9" s="4">
        <v>95</v>
      </c>
      <c r="K9" s="4">
        <v>90</v>
      </c>
      <c r="L9" s="4">
        <v>80</v>
      </c>
      <c r="M9" s="4">
        <v>80</v>
      </c>
      <c r="N9" s="4">
        <v>75</v>
      </c>
      <c r="O9" s="4">
        <v>85</v>
      </c>
      <c r="P9" s="4">
        <v>80</v>
      </c>
      <c r="Q9" s="4">
        <v>80</v>
      </c>
      <c r="R9" s="4">
        <v>135</v>
      </c>
      <c r="S9" s="71">
        <v>130</v>
      </c>
    </row>
    <row r="10" spans="1:19">
      <c r="A10" s="5" t="s">
        <v>68</v>
      </c>
      <c r="B10" s="5" t="s">
        <v>1056</v>
      </c>
      <c r="C10" s="67">
        <v>1057686</v>
      </c>
      <c r="D10" s="70" t="s">
        <v>1082</v>
      </c>
      <c r="E10" s="5" t="s">
        <v>1056</v>
      </c>
      <c r="F10" s="5" t="s">
        <v>1148</v>
      </c>
      <c r="G10" s="5" t="s">
        <v>1081</v>
      </c>
      <c r="H10" s="17">
        <f t="shared" si="0"/>
        <v>3.0674846625766871E-2</v>
      </c>
      <c r="I10" s="5">
        <f t="shared" si="1"/>
        <v>10</v>
      </c>
      <c r="J10" s="4">
        <v>336</v>
      </c>
      <c r="K10" s="4">
        <v>326</v>
      </c>
      <c r="L10" s="4">
        <v>295</v>
      </c>
      <c r="M10" s="4">
        <v>195</v>
      </c>
      <c r="N10" s="4">
        <v>160</v>
      </c>
      <c r="O10" s="4">
        <v>210</v>
      </c>
      <c r="P10" s="4">
        <v>175</v>
      </c>
      <c r="Q10" s="4">
        <v>168</v>
      </c>
      <c r="R10" s="4">
        <v>450</v>
      </c>
      <c r="S10" s="71">
        <v>450</v>
      </c>
    </row>
    <row r="11" spans="1:19">
      <c r="A11" s="5" t="s">
        <v>68</v>
      </c>
      <c r="B11" s="5" t="s">
        <v>1056</v>
      </c>
      <c r="C11" s="67">
        <v>1060425</v>
      </c>
      <c r="D11" s="70" t="s">
        <v>1080</v>
      </c>
      <c r="E11" s="5" t="s">
        <v>1079</v>
      </c>
      <c r="F11" s="5" t="s">
        <v>1147</v>
      </c>
      <c r="G11" s="5" t="s">
        <v>1078</v>
      </c>
      <c r="H11" s="174">
        <f t="shared" si="0"/>
        <v>0.14285714285714285</v>
      </c>
      <c r="I11" s="173">
        <f t="shared" si="1"/>
        <v>5</v>
      </c>
      <c r="J11" s="4">
        <v>40</v>
      </c>
      <c r="K11" s="4">
        <v>35</v>
      </c>
      <c r="L11" s="4">
        <v>40</v>
      </c>
      <c r="M11" s="4">
        <v>48</v>
      </c>
      <c r="N11" s="4">
        <v>40</v>
      </c>
      <c r="O11" s="4">
        <v>30</v>
      </c>
      <c r="P11" s="4">
        <v>35</v>
      </c>
      <c r="Q11" s="4">
        <v>70</v>
      </c>
      <c r="R11" s="4">
        <v>80</v>
      </c>
      <c r="S11" s="71">
        <v>30</v>
      </c>
    </row>
    <row r="12" spans="1:19">
      <c r="A12" s="5" t="s">
        <v>68</v>
      </c>
      <c r="B12" s="5" t="s">
        <v>1056</v>
      </c>
      <c r="C12" s="67">
        <v>1057561</v>
      </c>
      <c r="D12" s="70" t="s">
        <v>25</v>
      </c>
      <c r="E12" s="5" t="s">
        <v>1077</v>
      </c>
      <c r="F12" s="5" t="s">
        <v>1147</v>
      </c>
      <c r="G12" s="5" t="s">
        <v>1076</v>
      </c>
      <c r="H12" s="174">
        <f t="shared" si="0"/>
        <v>0.1702127659574468</v>
      </c>
      <c r="I12" s="173">
        <f t="shared" si="1"/>
        <v>8</v>
      </c>
      <c r="J12" s="4">
        <v>55</v>
      </c>
      <c r="K12" s="4">
        <v>47</v>
      </c>
      <c r="L12" s="4">
        <v>40</v>
      </c>
      <c r="M12" s="4">
        <v>35</v>
      </c>
      <c r="N12" s="4">
        <v>38</v>
      </c>
      <c r="O12" s="4">
        <v>40</v>
      </c>
      <c r="P12" s="4">
        <v>45</v>
      </c>
      <c r="Q12" s="4">
        <v>55</v>
      </c>
      <c r="R12" s="4">
        <v>70</v>
      </c>
      <c r="S12" s="71">
        <v>75</v>
      </c>
    </row>
    <row r="13" spans="1:19">
      <c r="A13" s="5" t="s">
        <v>68</v>
      </c>
      <c r="B13" s="5" t="s">
        <v>1056</v>
      </c>
      <c r="C13" s="67">
        <v>1061696</v>
      </c>
      <c r="D13" s="70" t="s">
        <v>1075</v>
      </c>
      <c r="E13" s="5" t="s">
        <v>1074</v>
      </c>
      <c r="F13" s="5" t="s">
        <v>1147</v>
      </c>
      <c r="G13" s="5" t="s">
        <v>1073</v>
      </c>
      <c r="H13" s="174">
        <f t="shared" si="0"/>
        <v>0.11538461538461539</v>
      </c>
      <c r="I13" s="173">
        <f t="shared" si="1"/>
        <v>3</v>
      </c>
      <c r="J13" s="4">
        <v>29</v>
      </c>
      <c r="K13" s="4">
        <v>26</v>
      </c>
      <c r="L13" s="4">
        <v>26</v>
      </c>
      <c r="M13" s="4">
        <v>30</v>
      </c>
      <c r="N13" s="4">
        <v>30</v>
      </c>
      <c r="O13" s="4">
        <v>33</v>
      </c>
      <c r="P13" s="4">
        <v>35</v>
      </c>
      <c r="Q13" s="4">
        <v>23</v>
      </c>
      <c r="R13" s="4">
        <v>23</v>
      </c>
      <c r="S13" s="71">
        <v>20</v>
      </c>
    </row>
    <row r="14" spans="1:19">
      <c r="A14" s="5" t="s">
        <v>68</v>
      </c>
      <c r="B14" s="5" t="s">
        <v>1056</v>
      </c>
      <c r="C14" s="67">
        <v>1057348</v>
      </c>
      <c r="D14" s="70" t="s">
        <v>1072</v>
      </c>
      <c r="E14" s="5" t="s">
        <v>1063</v>
      </c>
      <c r="F14" s="5" t="s">
        <v>1148</v>
      </c>
      <c r="G14" s="5" t="s">
        <v>1071</v>
      </c>
      <c r="H14" s="17">
        <f t="shared" si="0"/>
        <v>0.01</v>
      </c>
      <c r="I14" s="5">
        <f t="shared" si="1"/>
        <v>2</v>
      </c>
      <c r="J14" s="4">
        <v>202</v>
      </c>
      <c r="K14" s="4">
        <v>200</v>
      </c>
      <c r="L14" s="4">
        <v>175</v>
      </c>
      <c r="M14" s="4">
        <v>188</v>
      </c>
      <c r="N14" s="4">
        <v>190</v>
      </c>
      <c r="O14" s="4">
        <v>188</v>
      </c>
      <c r="P14" s="4">
        <v>205</v>
      </c>
      <c r="Q14" s="4">
        <v>200</v>
      </c>
      <c r="R14" s="4">
        <v>250</v>
      </c>
      <c r="S14" s="71">
        <v>275</v>
      </c>
    </row>
    <row r="15" spans="1:19">
      <c r="A15" s="5" t="s">
        <v>68</v>
      </c>
      <c r="B15" s="5" t="s">
        <v>1056</v>
      </c>
      <c r="C15" s="67">
        <v>1096775</v>
      </c>
      <c r="D15" s="70" t="s">
        <v>139</v>
      </c>
      <c r="E15" s="5" t="s">
        <v>1070</v>
      </c>
      <c r="F15" s="5" t="s">
        <v>1148</v>
      </c>
      <c r="G15" s="5" t="s">
        <v>1069</v>
      </c>
      <c r="H15" s="149">
        <f t="shared" si="0"/>
        <v>-7.1428571428571425E-2</v>
      </c>
      <c r="I15" s="150">
        <f t="shared" si="1"/>
        <v>-5</v>
      </c>
      <c r="J15" s="4">
        <v>65</v>
      </c>
      <c r="K15" s="4">
        <v>70</v>
      </c>
      <c r="L15" s="4">
        <v>65</v>
      </c>
      <c r="M15" s="4">
        <v>65</v>
      </c>
      <c r="N15" s="4">
        <v>74</v>
      </c>
      <c r="O15" s="4">
        <v>85</v>
      </c>
      <c r="P15" s="4">
        <v>82</v>
      </c>
      <c r="Q15" s="4">
        <v>73</v>
      </c>
      <c r="R15" s="4">
        <v>71</v>
      </c>
      <c r="S15" s="71">
        <v>79</v>
      </c>
    </row>
    <row r="16" spans="1:19">
      <c r="A16" s="5" t="s">
        <v>68</v>
      </c>
      <c r="B16" s="5" t="s">
        <v>1056</v>
      </c>
      <c r="C16" s="67">
        <v>1102995</v>
      </c>
      <c r="D16" s="70" t="s">
        <v>1068</v>
      </c>
      <c r="E16" s="5" t="s">
        <v>806</v>
      </c>
      <c r="F16" s="5" t="s">
        <v>1148</v>
      </c>
      <c r="G16" s="5" t="s">
        <v>1067</v>
      </c>
      <c r="H16" s="17">
        <f t="shared" si="0"/>
        <v>5.46875E-2</v>
      </c>
      <c r="I16" s="5">
        <f t="shared" si="1"/>
        <v>7</v>
      </c>
      <c r="J16" s="4">
        <v>135</v>
      </c>
      <c r="K16" s="4">
        <v>128</v>
      </c>
      <c r="L16" s="4">
        <v>96</v>
      </c>
      <c r="M16" s="4">
        <v>125</v>
      </c>
      <c r="N16" s="4">
        <v>124</v>
      </c>
      <c r="O16" s="4">
        <v>122</v>
      </c>
      <c r="P16" s="4">
        <v>106</v>
      </c>
      <c r="Q16" s="4">
        <v>84</v>
      </c>
      <c r="R16" s="4">
        <v>180</v>
      </c>
      <c r="S16" s="71">
        <v>160</v>
      </c>
    </row>
    <row r="17" spans="1:19">
      <c r="A17" s="5" t="s">
        <v>68</v>
      </c>
      <c r="B17" s="5" t="s">
        <v>1056</v>
      </c>
      <c r="C17" s="67">
        <v>1122720</v>
      </c>
      <c r="D17" s="70" t="s">
        <v>1066</v>
      </c>
      <c r="E17" s="5" t="s">
        <v>1065</v>
      </c>
      <c r="F17" s="5" t="s">
        <v>1148</v>
      </c>
      <c r="G17" s="5" t="s">
        <v>1064</v>
      </c>
      <c r="H17" s="174">
        <f t="shared" si="0"/>
        <v>0.15384615384615385</v>
      </c>
      <c r="I17" s="173">
        <f t="shared" si="1"/>
        <v>10</v>
      </c>
      <c r="J17" s="4">
        <v>75</v>
      </c>
      <c r="K17" s="4">
        <v>65</v>
      </c>
      <c r="L17" s="4">
        <v>150</v>
      </c>
      <c r="M17" s="4">
        <v>150</v>
      </c>
      <c r="N17" s="4">
        <v>150</v>
      </c>
      <c r="O17" s="4">
        <v>150</v>
      </c>
      <c r="P17" s="4">
        <v>115</v>
      </c>
      <c r="Q17" s="4">
        <v>100</v>
      </c>
      <c r="R17" s="4">
        <v>70</v>
      </c>
      <c r="S17" s="71">
        <v>124</v>
      </c>
    </row>
    <row r="18" spans="1:19">
      <c r="A18" s="5" t="s">
        <v>68</v>
      </c>
      <c r="B18" s="5" t="s">
        <v>1056</v>
      </c>
      <c r="C18" s="67">
        <v>1162643</v>
      </c>
      <c r="D18" s="70" t="s">
        <v>483</v>
      </c>
      <c r="E18" s="5" t="s">
        <v>1063</v>
      </c>
      <c r="F18" s="5" t="s">
        <v>1148</v>
      </c>
      <c r="G18" s="5" t="s">
        <v>1062</v>
      </c>
      <c r="H18" s="174">
        <f t="shared" si="0"/>
        <v>0.25744680851063828</v>
      </c>
      <c r="I18" s="173">
        <f t="shared" si="1"/>
        <v>121</v>
      </c>
      <c r="J18" s="148">
        <v>591</v>
      </c>
      <c r="K18" s="4">
        <v>470</v>
      </c>
      <c r="L18" s="4">
        <v>470</v>
      </c>
      <c r="M18" s="4">
        <v>350</v>
      </c>
      <c r="N18" s="4">
        <v>150</v>
      </c>
      <c r="O18" s="4">
        <v>66</v>
      </c>
      <c r="P18" s="4">
        <v>55</v>
      </c>
      <c r="Q18" s="4">
        <v>45</v>
      </c>
      <c r="R18" s="4">
        <v>0</v>
      </c>
      <c r="S18" s="50"/>
    </row>
    <row r="19" spans="1:19">
      <c r="A19" s="5" t="s">
        <v>68</v>
      </c>
      <c r="B19" s="5" t="s">
        <v>1056</v>
      </c>
      <c r="C19" s="67">
        <v>1427640</v>
      </c>
      <c r="D19" s="70" t="s">
        <v>1061</v>
      </c>
      <c r="E19" s="5" t="s">
        <v>1056</v>
      </c>
      <c r="F19" s="5" t="s">
        <v>1148</v>
      </c>
      <c r="G19" s="5" t="s">
        <v>1060</v>
      </c>
      <c r="H19" s="149">
        <f t="shared" si="0"/>
        <v>-9.90990990990991E-2</v>
      </c>
      <c r="I19" s="150">
        <f t="shared" si="1"/>
        <v>-11</v>
      </c>
      <c r="J19" s="4">
        <v>100</v>
      </c>
      <c r="K19" s="4">
        <v>111</v>
      </c>
      <c r="L19" s="4">
        <v>95</v>
      </c>
      <c r="M19" s="4">
        <v>83</v>
      </c>
      <c r="N19" s="4">
        <v>83</v>
      </c>
      <c r="O19" s="4">
        <v>79</v>
      </c>
      <c r="P19" s="49"/>
      <c r="Q19" s="49"/>
      <c r="R19" s="49"/>
      <c r="S19" s="50"/>
    </row>
    <row r="20" spans="1:19">
      <c r="A20" s="5" t="s">
        <v>68</v>
      </c>
      <c r="B20" s="5" t="s">
        <v>1056</v>
      </c>
      <c r="C20" s="67">
        <v>1788538</v>
      </c>
      <c r="D20" s="70" t="s">
        <v>1059</v>
      </c>
      <c r="E20" s="5" t="s">
        <v>773</v>
      </c>
      <c r="F20" s="5" t="s">
        <v>1148</v>
      </c>
      <c r="G20" s="5" t="s">
        <v>1058</v>
      </c>
      <c r="H20" s="17" t="s">
        <v>1154</v>
      </c>
      <c r="I20" s="5">
        <f t="shared" si="1"/>
        <v>160</v>
      </c>
      <c r="J20" s="4">
        <v>160</v>
      </c>
      <c r="K20" s="49"/>
      <c r="L20" s="49"/>
      <c r="M20" s="49"/>
      <c r="N20" s="49"/>
      <c r="O20" s="49"/>
      <c r="P20" s="49"/>
      <c r="Q20" s="49"/>
      <c r="R20" s="49"/>
      <c r="S20" s="50"/>
    </row>
    <row r="21" spans="1:19">
      <c r="A21" s="5" t="s">
        <v>68</v>
      </c>
      <c r="B21" s="5" t="s">
        <v>1056</v>
      </c>
      <c r="C21" s="67">
        <v>1057322</v>
      </c>
      <c r="D21" s="70" t="s">
        <v>287</v>
      </c>
      <c r="E21" s="5" t="s">
        <v>101</v>
      </c>
      <c r="F21" s="5" t="s">
        <v>1148</v>
      </c>
      <c r="G21" s="5" t="s">
        <v>1057</v>
      </c>
      <c r="H21" s="58">
        <f t="shared" si="0"/>
        <v>0</v>
      </c>
      <c r="I21" s="59">
        <f t="shared" si="1"/>
        <v>0</v>
      </c>
      <c r="J21" s="4">
        <v>220</v>
      </c>
      <c r="K21" s="4">
        <v>220</v>
      </c>
      <c r="L21" s="4">
        <v>140</v>
      </c>
      <c r="M21" s="4">
        <v>120</v>
      </c>
      <c r="N21" s="4">
        <v>120</v>
      </c>
      <c r="O21" s="4">
        <v>120</v>
      </c>
      <c r="P21" s="4">
        <v>95</v>
      </c>
      <c r="Q21" s="4">
        <v>125</v>
      </c>
      <c r="R21" s="4">
        <v>120</v>
      </c>
      <c r="S21" s="71">
        <v>130</v>
      </c>
    </row>
    <row r="22" spans="1:19">
      <c r="A22" s="5" t="s">
        <v>68</v>
      </c>
      <c r="B22" s="5" t="s">
        <v>1056</v>
      </c>
      <c r="C22" s="67">
        <v>1061688</v>
      </c>
      <c r="D22" s="70" t="s">
        <v>25</v>
      </c>
      <c r="E22" s="5" t="s">
        <v>1055</v>
      </c>
      <c r="F22" s="5" t="s">
        <v>1148</v>
      </c>
      <c r="G22" s="5" t="s">
        <v>1054</v>
      </c>
      <c r="H22" s="17">
        <f t="shared" si="0"/>
        <v>4.4444444444444446E-2</v>
      </c>
      <c r="I22" s="5">
        <f t="shared" si="1"/>
        <v>2</v>
      </c>
      <c r="J22" s="54">
        <v>47</v>
      </c>
      <c r="K22" s="54">
        <v>45</v>
      </c>
      <c r="L22" s="54">
        <v>46</v>
      </c>
      <c r="M22" s="54">
        <v>46</v>
      </c>
      <c r="N22" s="54">
        <v>45</v>
      </c>
      <c r="O22" s="54">
        <v>24</v>
      </c>
      <c r="P22" s="54">
        <v>24</v>
      </c>
      <c r="Q22" s="54">
        <v>24</v>
      </c>
      <c r="R22" s="54">
        <v>33</v>
      </c>
      <c r="S22" s="145">
        <v>35</v>
      </c>
    </row>
    <row r="23" spans="1:19" ht="15" thickBot="1">
      <c r="D23" s="72" t="str">
        <f>"Church Count: "&amp;COUNTA(D5:D22)</f>
        <v>Church Count: 18</v>
      </c>
      <c r="E23" s="49"/>
      <c r="F23" s="49"/>
      <c r="G23" s="151" t="s">
        <v>1207</v>
      </c>
      <c r="H23" s="49"/>
      <c r="I23" s="49"/>
      <c r="J23" s="197">
        <f t="shared" ref="J23:S23" si="2">SUM(J5:J22)</f>
        <v>2431</v>
      </c>
      <c r="K23" s="197">
        <f t="shared" si="2"/>
        <v>2132</v>
      </c>
      <c r="L23" s="197">
        <f t="shared" si="2"/>
        <v>2063</v>
      </c>
      <c r="M23" s="197">
        <f t="shared" si="2"/>
        <v>1885</v>
      </c>
      <c r="N23" s="197">
        <f t="shared" si="2"/>
        <v>1639</v>
      </c>
      <c r="O23" s="197">
        <f t="shared" si="2"/>
        <v>1672</v>
      </c>
      <c r="P23" s="197">
        <f t="shared" si="2"/>
        <v>1492</v>
      </c>
      <c r="Q23" s="197">
        <f t="shared" si="2"/>
        <v>1480</v>
      </c>
      <c r="R23" s="197">
        <f t="shared" si="2"/>
        <v>1859</v>
      </c>
      <c r="S23" s="198">
        <f t="shared" si="2"/>
        <v>1922</v>
      </c>
    </row>
    <row r="24" spans="1:19" ht="15" thickTop="1">
      <c r="D24" s="152" t="s">
        <v>1180</v>
      </c>
      <c r="E24" s="49"/>
      <c r="F24" s="49"/>
      <c r="G24" s="151" t="s">
        <v>1208</v>
      </c>
      <c r="H24" s="49"/>
      <c r="I24" s="49"/>
      <c r="J24" s="49">
        <f>J23-K23</f>
        <v>299</v>
      </c>
      <c r="K24" s="49"/>
      <c r="L24" s="49"/>
      <c r="M24" s="49"/>
      <c r="N24" s="49"/>
      <c r="O24" s="49"/>
      <c r="P24" s="49"/>
      <c r="Q24" s="49"/>
      <c r="R24" s="49"/>
      <c r="S24" s="50"/>
    </row>
    <row r="25" spans="1:19">
      <c r="D25" s="153" t="s">
        <v>1181</v>
      </c>
      <c r="E25" s="146"/>
      <c r="F25" s="146"/>
      <c r="G25" s="151" t="s">
        <v>1209</v>
      </c>
      <c r="H25" s="49"/>
      <c r="I25" s="49"/>
      <c r="J25" s="169">
        <f>(J23-K23)/ABS(K23)</f>
        <v>0.1402439024390244</v>
      </c>
      <c r="K25" s="49"/>
      <c r="L25" s="49"/>
      <c r="M25" s="49"/>
      <c r="N25" s="49"/>
      <c r="O25" s="49"/>
      <c r="P25" s="49"/>
      <c r="Q25" s="49"/>
      <c r="R25" s="49"/>
      <c r="S25" s="50"/>
    </row>
    <row r="26" spans="1:19">
      <c r="D26" s="170" t="s">
        <v>1210</v>
      </c>
      <c r="E26" s="49"/>
      <c r="F26" s="49"/>
      <c r="G26" s="218" t="s">
        <v>1219</v>
      </c>
      <c r="H26" s="49"/>
      <c r="I26" s="49"/>
      <c r="J26" s="222">
        <f>J23-S23</f>
        <v>509</v>
      </c>
      <c r="K26" s="49"/>
      <c r="L26" s="49"/>
      <c r="M26" s="49"/>
      <c r="N26" s="49"/>
      <c r="O26" s="49"/>
      <c r="P26" s="49"/>
      <c r="Q26" s="49"/>
      <c r="R26" s="49"/>
      <c r="S26" s="50"/>
    </row>
    <row r="27" spans="1:19">
      <c r="D27" s="154" t="s">
        <v>1182</v>
      </c>
      <c r="E27" s="51"/>
      <c r="F27" s="51"/>
      <c r="G27" s="186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2"/>
    </row>
  </sheetData>
  <mergeCells count="1">
    <mergeCell ref="D1:S1"/>
  </mergeCells>
  <printOptions horizontalCentered="1"/>
  <pageMargins left="0.7" right="0.7" top="0.75" bottom="0.75" header="0.3" footer="0.3"/>
  <pageSetup scale="68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 enableFormatConditionsCalculation="0">
    <pageSetUpPr fitToPage="1"/>
  </sheetPr>
  <dimension ref="A1:T33"/>
  <sheetViews>
    <sheetView tabSelected="1" topLeftCell="D1" workbookViewId="0">
      <selection activeCell="V16" sqref="V16"/>
    </sheetView>
  </sheetViews>
  <sheetFormatPr baseColWidth="10" defaultColWidth="8.83203125" defaultRowHeight="14" x14ac:dyDescent="0"/>
  <cols>
    <col min="1" max="1" width="7.1640625" style="3" hidden="1" customWidth="1"/>
    <col min="2" max="2" width="12.1640625" style="3" hidden="1" customWidth="1"/>
    <col min="3" max="3" width="8.1640625" style="3" hidden="1" customWidth="1"/>
    <col min="4" max="4" width="39.5" style="3" bestFit="1" customWidth="1"/>
    <col min="5" max="5" width="12.1640625" style="3" bestFit="1" customWidth="1"/>
    <col min="6" max="6" width="10" style="3" bestFit="1" customWidth="1"/>
    <col min="7" max="7" width="22.83203125" style="3" bestFit="1" customWidth="1"/>
    <col min="8" max="8" width="7.83203125" style="3" bestFit="1" customWidth="1"/>
    <col min="9" max="9" width="7.5" style="3" bestFit="1" customWidth="1"/>
    <col min="10" max="19" width="7" style="3" bestFit="1" customWidth="1"/>
    <col min="20" max="16384" width="8.83203125" style="3"/>
  </cols>
  <sheetData>
    <row r="1" spans="1:20" ht="36">
      <c r="D1" s="232" t="s">
        <v>1157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4"/>
    </row>
    <row r="2" spans="1:20" ht="23">
      <c r="D2" s="68" t="s">
        <v>1152</v>
      </c>
      <c r="E2" s="69" t="str">
        <f>A5</f>
        <v>West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20" ht="23">
      <c r="D3" s="68" t="s">
        <v>1153</v>
      </c>
      <c r="E3" s="69" t="str">
        <f>B5</f>
        <v>Wichita Falls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1:20">
      <c r="A4" s="6" t="s">
        <v>0</v>
      </c>
      <c r="B4" s="6" t="s">
        <v>1</v>
      </c>
      <c r="C4" s="66" t="s">
        <v>1143</v>
      </c>
      <c r="D4" s="6" t="s">
        <v>2</v>
      </c>
      <c r="E4" s="6" t="s">
        <v>1144</v>
      </c>
      <c r="F4" s="6" t="s">
        <v>1145</v>
      </c>
      <c r="G4" s="6" t="s">
        <v>1146</v>
      </c>
      <c r="H4" s="6" t="s">
        <v>1156</v>
      </c>
      <c r="I4" s="6" t="s">
        <v>1155</v>
      </c>
      <c r="J4" s="6">
        <v>2013</v>
      </c>
      <c r="K4" s="6">
        <v>2012</v>
      </c>
      <c r="L4" s="6">
        <v>2011</v>
      </c>
      <c r="M4" s="6">
        <v>2010</v>
      </c>
      <c r="N4" s="6">
        <v>2009</v>
      </c>
      <c r="O4" s="6">
        <v>2008</v>
      </c>
      <c r="P4" s="6">
        <v>2007</v>
      </c>
      <c r="Q4" s="6">
        <v>2006</v>
      </c>
      <c r="R4" s="6">
        <v>2005</v>
      </c>
      <c r="S4" s="6">
        <v>2004</v>
      </c>
    </row>
    <row r="5" spans="1:20">
      <c r="A5" s="5" t="s">
        <v>27</v>
      </c>
      <c r="B5" s="5" t="s">
        <v>1096</v>
      </c>
      <c r="C5" s="67">
        <v>1061316</v>
      </c>
      <c r="D5" s="70" t="s">
        <v>25</v>
      </c>
      <c r="E5" s="5" t="s">
        <v>1141</v>
      </c>
      <c r="F5" s="5" t="s">
        <v>1148</v>
      </c>
      <c r="G5" s="5" t="s">
        <v>1140</v>
      </c>
      <c r="H5" s="149">
        <f>(J5-K5)/ABS(K5)</f>
        <v>-0.14285714285714285</v>
      </c>
      <c r="I5" s="150">
        <f>J5-K5</f>
        <v>-10</v>
      </c>
      <c r="J5" s="4">
        <v>60</v>
      </c>
      <c r="K5" s="4">
        <v>70</v>
      </c>
      <c r="L5" s="4">
        <v>70</v>
      </c>
      <c r="M5" s="4">
        <v>70</v>
      </c>
      <c r="N5" s="4">
        <v>65</v>
      </c>
      <c r="O5" s="4">
        <v>65</v>
      </c>
      <c r="P5" s="4">
        <v>70</v>
      </c>
      <c r="Q5" s="4">
        <v>65</v>
      </c>
      <c r="R5" s="4">
        <v>38</v>
      </c>
      <c r="S5" s="71">
        <v>35</v>
      </c>
      <c r="T5" s="235">
        <f>(J5-S5)/ABS(J5)</f>
        <v>0.41666666666666669</v>
      </c>
    </row>
    <row r="6" spans="1:20">
      <c r="A6" s="5" t="s">
        <v>27</v>
      </c>
      <c r="B6" s="5" t="s">
        <v>1096</v>
      </c>
      <c r="C6" s="67">
        <v>1060383</v>
      </c>
      <c r="D6" s="70" t="s">
        <v>1139</v>
      </c>
      <c r="E6" s="5" t="s">
        <v>161</v>
      </c>
      <c r="F6" s="5" t="s">
        <v>1147</v>
      </c>
      <c r="G6" s="5" t="s">
        <v>1138</v>
      </c>
      <c r="H6" s="58">
        <f t="shared" ref="H6:H28" si="0">(J6-K6)/ABS(K6)</f>
        <v>0</v>
      </c>
      <c r="I6" s="59">
        <f t="shared" ref="I6:I28" si="1">J6-K6</f>
        <v>0</v>
      </c>
      <c r="J6" s="4">
        <v>10</v>
      </c>
      <c r="K6" s="4">
        <v>10</v>
      </c>
      <c r="L6" s="4">
        <v>6</v>
      </c>
      <c r="M6" s="4">
        <v>10</v>
      </c>
      <c r="N6" s="4">
        <v>11</v>
      </c>
      <c r="O6" s="4">
        <v>10</v>
      </c>
      <c r="P6" s="4">
        <v>17</v>
      </c>
      <c r="Q6" s="4">
        <v>20</v>
      </c>
      <c r="R6" s="4">
        <v>18</v>
      </c>
      <c r="S6" s="71">
        <v>19</v>
      </c>
    </row>
    <row r="7" spans="1:20">
      <c r="A7" s="5" t="s">
        <v>27</v>
      </c>
      <c r="B7" s="5" t="s">
        <v>1096</v>
      </c>
      <c r="C7" s="67">
        <v>1060409</v>
      </c>
      <c r="D7" s="70" t="s">
        <v>75</v>
      </c>
      <c r="E7" s="5" t="s">
        <v>1137</v>
      </c>
      <c r="F7" s="5" t="s">
        <v>1147</v>
      </c>
      <c r="G7" s="5" t="s">
        <v>1136</v>
      </c>
      <c r="H7" s="58">
        <f t="shared" si="0"/>
        <v>0</v>
      </c>
      <c r="I7" s="59">
        <f t="shared" si="1"/>
        <v>0</v>
      </c>
      <c r="J7" s="4">
        <v>9</v>
      </c>
      <c r="K7" s="4">
        <v>9</v>
      </c>
      <c r="L7" s="4">
        <v>8</v>
      </c>
      <c r="M7" s="4">
        <v>10</v>
      </c>
      <c r="N7" s="4">
        <v>10</v>
      </c>
      <c r="O7" s="4">
        <v>9</v>
      </c>
      <c r="P7" s="4">
        <v>8</v>
      </c>
      <c r="Q7" s="4">
        <v>15</v>
      </c>
      <c r="R7" s="4">
        <v>16</v>
      </c>
      <c r="S7" s="71">
        <v>16</v>
      </c>
    </row>
    <row r="8" spans="1:20">
      <c r="A8" s="5" t="s">
        <v>27</v>
      </c>
      <c r="B8" s="5" t="s">
        <v>1096</v>
      </c>
      <c r="C8" s="67">
        <v>1061068</v>
      </c>
      <c r="D8" s="70" t="s">
        <v>34</v>
      </c>
      <c r="E8" s="5" t="s">
        <v>1135</v>
      </c>
      <c r="F8" s="5" t="s">
        <v>1148</v>
      </c>
      <c r="G8" s="5" t="s">
        <v>1134</v>
      </c>
      <c r="H8" s="58">
        <f t="shared" si="0"/>
        <v>0</v>
      </c>
      <c r="I8" s="59">
        <f t="shared" si="1"/>
        <v>0</v>
      </c>
      <c r="J8" s="4">
        <v>300</v>
      </c>
      <c r="K8" s="4">
        <v>300</v>
      </c>
      <c r="L8" s="4">
        <v>225</v>
      </c>
      <c r="M8" s="4">
        <v>185</v>
      </c>
      <c r="N8" s="4">
        <v>189</v>
      </c>
      <c r="O8" s="4">
        <v>161</v>
      </c>
      <c r="P8" s="4">
        <v>145</v>
      </c>
      <c r="Q8" s="4">
        <v>160</v>
      </c>
      <c r="R8" s="4">
        <v>160</v>
      </c>
      <c r="S8" s="71">
        <v>145</v>
      </c>
    </row>
    <row r="9" spans="1:20">
      <c r="A9" s="5" t="s">
        <v>27</v>
      </c>
      <c r="B9" s="5" t="s">
        <v>1096</v>
      </c>
      <c r="C9" s="67">
        <v>1061159</v>
      </c>
      <c r="D9" s="70" t="s">
        <v>1133</v>
      </c>
      <c r="E9" s="5" t="s">
        <v>1132</v>
      </c>
      <c r="F9" s="5" t="s">
        <v>1148</v>
      </c>
      <c r="G9" s="5" t="s">
        <v>1131</v>
      </c>
      <c r="H9" s="58">
        <f t="shared" si="0"/>
        <v>0</v>
      </c>
      <c r="I9" s="59">
        <f t="shared" si="1"/>
        <v>0</v>
      </c>
      <c r="J9" s="4">
        <v>45</v>
      </c>
      <c r="K9" s="4">
        <v>45</v>
      </c>
      <c r="L9" s="4">
        <v>40</v>
      </c>
      <c r="M9" s="4">
        <v>40</v>
      </c>
      <c r="N9" s="4">
        <v>35</v>
      </c>
      <c r="O9" s="4">
        <v>40</v>
      </c>
      <c r="P9" s="4">
        <v>50</v>
      </c>
      <c r="Q9" s="4">
        <v>65</v>
      </c>
      <c r="R9" s="4">
        <v>65</v>
      </c>
      <c r="S9" s="71">
        <v>65</v>
      </c>
    </row>
    <row r="10" spans="1:20">
      <c r="A10" s="5" t="s">
        <v>27</v>
      </c>
      <c r="B10" s="5" t="s">
        <v>1096</v>
      </c>
      <c r="C10" s="67">
        <v>1061191</v>
      </c>
      <c r="D10" s="70" t="s">
        <v>720</v>
      </c>
      <c r="E10" s="5" t="s">
        <v>1096</v>
      </c>
      <c r="F10" s="5" t="s">
        <v>1148</v>
      </c>
      <c r="G10" s="5" t="s">
        <v>1130</v>
      </c>
      <c r="H10" s="149">
        <f t="shared" si="0"/>
        <v>-0.33333333333333331</v>
      </c>
      <c r="I10" s="150">
        <f t="shared" si="1"/>
        <v>-200</v>
      </c>
      <c r="J10" s="4">
        <v>400</v>
      </c>
      <c r="K10" s="4">
        <v>600</v>
      </c>
      <c r="L10" s="4">
        <v>400</v>
      </c>
      <c r="M10" s="4">
        <v>600</v>
      </c>
      <c r="N10" s="4">
        <v>511</v>
      </c>
      <c r="O10" s="4">
        <v>700</v>
      </c>
      <c r="P10" s="4">
        <v>400</v>
      </c>
      <c r="Q10" s="4">
        <v>650</v>
      </c>
      <c r="R10" s="4">
        <v>650</v>
      </c>
      <c r="S10" s="71">
        <v>700</v>
      </c>
    </row>
    <row r="11" spans="1:20">
      <c r="A11" s="5" t="s">
        <v>27</v>
      </c>
      <c r="B11" s="5" t="s">
        <v>1096</v>
      </c>
      <c r="C11" s="67">
        <v>1061217</v>
      </c>
      <c r="D11" s="70" t="s">
        <v>1129</v>
      </c>
      <c r="E11" s="5" t="s">
        <v>1096</v>
      </c>
      <c r="F11" s="5" t="s">
        <v>1147</v>
      </c>
      <c r="G11" s="5" t="s">
        <v>1128</v>
      </c>
      <c r="H11" s="149">
        <f t="shared" si="0"/>
        <v>-0.16666666666666666</v>
      </c>
      <c r="I11" s="150">
        <f t="shared" si="1"/>
        <v>-5</v>
      </c>
      <c r="J11" s="4">
        <v>25</v>
      </c>
      <c r="K11" s="4">
        <v>30</v>
      </c>
      <c r="L11" s="4">
        <v>35</v>
      </c>
      <c r="M11" s="4">
        <v>50</v>
      </c>
      <c r="N11" s="4">
        <v>35</v>
      </c>
      <c r="O11" s="4">
        <v>25</v>
      </c>
      <c r="P11" s="4">
        <v>26</v>
      </c>
      <c r="Q11" s="4">
        <v>20</v>
      </c>
      <c r="R11" s="4">
        <v>30</v>
      </c>
      <c r="S11" s="71">
        <v>32</v>
      </c>
    </row>
    <row r="12" spans="1:20">
      <c r="A12" s="5" t="s">
        <v>27</v>
      </c>
      <c r="B12" s="5" t="s">
        <v>1096</v>
      </c>
      <c r="C12" s="67">
        <v>1061241</v>
      </c>
      <c r="D12" s="70" t="s">
        <v>25</v>
      </c>
      <c r="E12" s="5" t="s">
        <v>1096</v>
      </c>
      <c r="F12" s="5" t="s">
        <v>1148</v>
      </c>
      <c r="G12" s="5" t="s">
        <v>1127</v>
      </c>
      <c r="H12" s="149">
        <f t="shared" si="0"/>
        <v>-3.717472118959108E-2</v>
      </c>
      <c r="I12" s="150">
        <f t="shared" si="1"/>
        <v>-10</v>
      </c>
      <c r="J12" s="4">
        <v>259</v>
      </c>
      <c r="K12" s="4">
        <v>269</v>
      </c>
      <c r="L12" s="4">
        <v>269</v>
      </c>
      <c r="M12" s="4">
        <v>262</v>
      </c>
      <c r="N12" s="4">
        <v>260</v>
      </c>
      <c r="O12" s="4">
        <v>284</v>
      </c>
      <c r="P12" s="4">
        <v>287</v>
      </c>
      <c r="Q12" s="4">
        <v>283</v>
      </c>
      <c r="R12" s="4">
        <v>323</v>
      </c>
      <c r="S12" s="71">
        <v>349</v>
      </c>
    </row>
    <row r="13" spans="1:20">
      <c r="A13" s="5" t="s">
        <v>27</v>
      </c>
      <c r="B13" s="5" t="s">
        <v>1096</v>
      </c>
      <c r="C13" s="67">
        <v>1061274</v>
      </c>
      <c r="D13" s="70" t="s">
        <v>55</v>
      </c>
      <c r="E13" s="5" t="s">
        <v>1096</v>
      </c>
      <c r="F13" s="5" t="s">
        <v>1147</v>
      </c>
      <c r="G13" s="5" t="s">
        <v>1126</v>
      </c>
      <c r="H13" s="58">
        <f t="shared" si="0"/>
        <v>0</v>
      </c>
      <c r="I13" s="59">
        <f t="shared" si="1"/>
        <v>0</v>
      </c>
      <c r="J13" s="4">
        <v>75</v>
      </c>
      <c r="K13" s="4">
        <v>75</v>
      </c>
      <c r="L13" s="4">
        <v>60</v>
      </c>
      <c r="M13" s="4">
        <v>65</v>
      </c>
      <c r="N13" s="4">
        <v>65</v>
      </c>
      <c r="O13" s="4">
        <v>75</v>
      </c>
      <c r="P13" s="4">
        <v>75</v>
      </c>
      <c r="Q13" s="4">
        <v>60</v>
      </c>
      <c r="R13" s="4">
        <v>65</v>
      </c>
      <c r="S13" s="71">
        <v>60</v>
      </c>
    </row>
    <row r="14" spans="1:20">
      <c r="A14" s="5" t="s">
        <v>27</v>
      </c>
      <c r="B14" s="5" t="s">
        <v>1096</v>
      </c>
      <c r="C14" s="67">
        <v>1061282</v>
      </c>
      <c r="D14" s="70" t="s">
        <v>1125</v>
      </c>
      <c r="E14" s="5" t="s">
        <v>1124</v>
      </c>
      <c r="F14" s="5" t="s">
        <v>1148</v>
      </c>
      <c r="G14" s="5" t="s">
        <v>1123</v>
      </c>
      <c r="H14" s="149">
        <f t="shared" si="0"/>
        <v>-0.33333333333333331</v>
      </c>
      <c r="I14" s="150">
        <f t="shared" si="1"/>
        <v>-25</v>
      </c>
      <c r="J14" s="4">
        <v>50</v>
      </c>
      <c r="K14" s="4">
        <v>75</v>
      </c>
      <c r="L14" s="4">
        <v>75</v>
      </c>
      <c r="M14" s="4">
        <v>75</v>
      </c>
      <c r="N14" s="4">
        <v>75</v>
      </c>
      <c r="O14" s="4">
        <v>40</v>
      </c>
      <c r="P14" s="4">
        <v>35</v>
      </c>
      <c r="Q14" s="4">
        <v>40</v>
      </c>
      <c r="R14" s="4">
        <v>40</v>
      </c>
      <c r="S14" s="71">
        <v>59</v>
      </c>
    </row>
    <row r="15" spans="1:20">
      <c r="A15" s="5" t="s">
        <v>27</v>
      </c>
      <c r="B15" s="5" t="s">
        <v>1096</v>
      </c>
      <c r="C15" s="67">
        <v>1060292</v>
      </c>
      <c r="D15" s="70" t="s">
        <v>1122</v>
      </c>
      <c r="E15" s="5" t="s">
        <v>375</v>
      </c>
      <c r="F15" s="5" t="s">
        <v>1148</v>
      </c>
      <c r="G15" s="5" t="s">
        <v>1121</v>
      </c>
      <c r="H15" s="174">
        <f t="shared" si="0"/>
        <v>0.26011560693641617</v>
      </c>
      <c r="I15" s="173">
        <f t="shared" si="1"/>
        <v>45</v>
      </c>
      <c r="J15" s="4">
        <v>218</v>
      </c>
      <c r="K15" s="4">
        <v>173</v>
      </c>
      <c r="L15" s="4">
        <v>156</v>
      </c>
      <c r="M15" s="4">
        <v>183</v>
      </c>
      <c r="N15" s="4">
        <v>195</v>
      </c>
      <c r="O15" s="4">
        <v>173</v>
      </c>
      <c r="P15" s="4">
        <v>137</v>
      </c>
      <c r="Q15" s="4">
        <v>132</v>
      </c>
      <c r="R15" s="4">
        <v>187</v>
      </c>
      <c r="S15" s="71">
        <v>187</v>
      </c>
    </row>
    <row r="16" spans="1:20">
      <c r="A16" s="5" t="s">
        <v>27</v>
      </c>
      <c r="B16" s="5" t="s">
        <v>1096</v>
      </c>
      <c r="C16" s="67">
        <v>1061308</v>
      </c>
      <c r="D16" s="70" t="s">
        <v>75</v>
      </c>
      <c r="E16" s="5" t="s">
        <v>1120</v>
      </c>
      <c r="F16" s="5" t="s">
        <v>1148</v>
      </c>
      <c r="G16" s="5" t="s">
        <v>3</v>
      </c>
      <c r="H16" s="149">
        <f t="shared" si="0"/>
        <v>-0.21875</v>
      </c>
      <c r="I16" s="150">
        <f t="shared" si="1"/>
        <v>-28</v>
      </c>
      <c r="J16" s="4">
        <v>100</v>
      </c>
      <c r="K16" s="4">
        <v>128</v>
      </c>
      <c r="L16" s="4">
        <v>130</v>
      </c>
      <c r="M16" s="4">
        <v>125</v>
      </c>
      <c r="N16" s="4">
        <v>120</v>
      </c>
      <c r="O16" s="4">
        <v>90</v>
      </c>
      <c r="P16" s="4">
        <v>136</v>
      </c>
      <c r="Q16" s="4">
        <v>145</v>
      </c>
      <c r="R16" s="4">
        <v>101</v>
      </c>
      <c r="S16" s="71">
        <v>99</v>
      </c>
    </row>
    <row r="17" spans="1:19">
      <c r="A17" s="5" t="s">
        <v>27</v>
      </c>
      <c r="B17" s="5" t="s">
        <v>1096</v>
      </c>
      <c r="C17" s="67">
        <v>1483825</v>
      </c>
      <c r="D17" s="70" t="s">
        <v>1119</v>
      </c>
      <c r="E17" s="5" t="s">
        <v>1096</v>
      </c>
      <c r="F17" s="5" t="s">
        <v>1148</v>
      </c>
      <c r="G17" s="5" t="s">
        <v>1118</v>
      </c>
      <c r="H17" s="149">
        <f t="shared" si="0"/>
        <v>-3.9325842696629212E-2</v>
      </c>
      <c r="I17" s="150">
        <f t="shared" si="1"/>
        <v>-21</v>
      </c>
      <c r="J17" s="148">
        <v>513</v>
      </c>
      <c r="K17" s="4">
        <v>534</v>
      </c>
      <c r="L17" s="4">
        <v>588</v>
      </c>
      <c r="M17" s="4">
        <v>612</v>
      </c>
      <c r="N17" s="4">
        <v>610</v>
      </c>
      <c r="O17" s="4">
        <v>565</v>
      </c>
      <c r="P17" s="4">
        <v>557</v>
      </c>
      <c r="Q17" s="4">
        <v>446</v>
      </c>
      <c r="R17" s="4">
        <v>403</v>
      </c>
      <c r="S17" s="71">
        <v>298</v>
      </c>
    </row>
    <row r="18" spans="1:19">
      <c r="A18" s="5" t="s">
        <v>27</v>
      </c>
      <c r="B18" s="5" t="s">
        <v>1096</v>
      </c>
      <c r="C18" s="67">
        <v>1061324</v>
      </c>
      <c r="D18" s="70" t="s">
        <v>1117</v>
      </c>
      <c r="E18" s="5" t="s">
        <v>1116</v>
      </c>
      <c r="F18" s="5" t="s">
        <v>1147</v>
      </c>
      <c r="G18" s="5" t="s">
        <v>1115</v>
      </c>
      <c r="H18" s="147">
        <f t="shared" si="0"/>
        <v>0.625</v>
      </c>
      <c r="I18" s="173">
        <f t="shared" si="1"/>
        <v>10</v>
      </c>
      <c r="J18" s="4">
        <v>26</v>
      </c>
      <c r="K18" s="4">
        <v>16</v>
      </c>
      <c r="L18" s="4">
        <v>16</v>
      </c>
      <c r="M18" s="4">
        <v>15</v>
      </c>
      <c r="N18" s="4">
        <v>12</v>
      </c>
      <c r="O18" s="4">
        <v>20</v>
      </c>
      <c r="P18" s="4">
        <v>26</v>
      </c>
      <c r="Q18" s="4">
        <v>35</v>
      </c>
      <c r="R18" s="4">
        <v>20</v>
      </c>
      <c r="S18" s="71">
        <v>20</v>
      </c>
    </row>
    <row r="19" spans="1:19">
      <c r="A19" s="5" t="s">
        <v>27</v>
      </c>
      <c r="B19" s="5" t="s">
        <v>1096</v>
      </c>
      <c r="C19" s="67">
        <v>1061332</v>
      </c>
      <c r="D19" s="70" t="s">
        <v>25</v>
      </c>
      <c r="E19" s="5" t="s">
        <v>1114</v>
      </c>
      <c r="F19" s="5" t="s">
        <v>1148</v>
      </c>
      <c r="G19" s="5" t="s">
        <v>1113</v>
      </c>
      <c r="H19" s="149">
        <f t="shared" si="0"/>
        <v>-5.2631578947368418E-2</v>
      </c>
      <c r="I19" s="150">
        <f t="shared" si="1"/>
        <v>-3</v>
      </c>
      <c r="J19" s="4">
        <v>54</v>
      </c>
      <c r="K19" s="4">
        <v>57</v>
      </c>
      <c r="L19" s="4">
        <v>60</v>
      </c>
      <c r="M19" s="4">
        <v>55</v>
      </c>
      <c r="N19" s="4">
        <v>50</v>
      </c>
      <c r="O19" s="4">
        <v>80</v>
      </c>
      <c r="P19" s="4">
        <v>65</v>
      </c>
      <c r="Q19" s="4">
        <v>60</v>
      </c>
      <c r="R19" s="4">
        <v>55</v>
      </c>
      <c r="S19" s="71">
        <v>58</v>
      </c>
    </row>
    <row r="20" spans="1:19">
      <c r="A20" s="5" t="s">
        <v>27</v>
      </c>
      <c r="B20" s="5" t="s">
        <v>1096</v>
      </c>
      <c r="C20" s="67">
        <v>1061373</v>
      </c>
      <c r="D20" s="70" t="s">
        <v>25</v>
      </c>
      <c r="E20" s="5" t="s">
        <v>1112</v>
      </c>
      <c r="F20" s="5" t="s">
        <v>1147</v>
      </c>
      <c r="G20" s="5" t="s">
        <v>1111</v>
      </c>
      <c r="H20" s="58">
        <f t="shared" si="0"/>
        <v>0</v>
      </c>
      <c r="I20" s="59">
        <f t="shared" si="1"/>
        <v>0</v>
      </c>
      <c r="J20" s="4">
        <v>30</v>
      </c>
      <c r="K20" s="4">
        <v>30</v>
      </c>
      <c r="L20" s="4">
        <v>35</v>
      </c>
      <c r="M20" s="4">
        <v>30</v>
      </c>
      <c r="N20" s="4">
        <v>30</v>
      </c>
      <c r="O20" s="4">
        <v>30</v>
      </c>
      <c r="P20" s="4">
        <v>29</v>
      </c>
      <c r="Q20" s="4">
        <v>31</v>
      </c>
      <c r="R20" s="4">
        <v>29</v>
      </c>
      <c r="S20" s="71">
        <v>30</v>
      </c>
    </row>
    <row r="21" spans="1:19">
      <c r="A21" s="5" t="s">
        <v>27</v>
      </c>
      <c r="B21" s="5" t="s">
        <v>1096</v>
      </c>
      <c r="C21" s="67">
        <v>1061381</v>
      </c>
      <c r="D21" s="70" t="s">
        <v>25</v>
      </c>
      <c r="E21" s="5" t="s">
        <v>1110</v>
      </c>
      <c r="F21" s="5" t="s">
        <v>1147</v>
      </c>
      <c r="G21" s="5" t="s">
        <v>1109</v>
      </c>
      <c r="H21" s="58">
        <f t="shared" si="0"/>
        <v>0</v>
      </c>
      <c r="I21" s="59">
        <f t="shared" si="1"/>
        <v>0</v>
      </c>
      <c r="J21" s="4">
        <v>14</v>
      </c>
      <c r="K21" s="4">
        <v>14</v>
      </c>
      <c r="L21" s="4">
        <v>33</v>
      </c>
      <c r="M21" s="4">
        <v>30</v>
      </c>
      <c r="N21" s="4">
        <v>30</v>
      </c>
      <c r="O21" s="4">
        <v>29</v>
      </c>
      <c r="P21" s="4">
        <v>34</v>
      </c>
      <c r="Q21" s="4">
        <v>36</v>
      </c>
      <c r="R21" s="4">
        <v>36</v>
      </c>
      <c r="S21" s="71">
        <v>28</v>
      </c>
    </row>
    <row r="22" spans="1:19">
      <c r="A22" s="5" t="s">
        <v>27</v>
      </c>
      <c r="B22" s="5" t="s">
        <v>1096</v>
      </c>
      <c r="C22" s="67">
        <v>1061399</v>
      </c>
      <c r="D22" s="70" t="s">
        <v>25</v>
      </c>
      <c r="E22" s="5" t="s">
        <v>1108</v>
      </c>
      <c r="F22" s="5" t="s">
        <v>1148</v>
      </c>
      <c r="G22" s="5" t="s">
        <v>1107</v>
      </c>
      <c r="H22" s="58">
        <f t="shared" si="0"/>
        <v>0</v>
      </c>
      <c r="I22" s="59">
        <f t="shared" si="1"/>
        <v>0</v>
      </c>
      <c r="J22" s="4">
        <v>75</v>
      </c>
      <c r="K22" s="4">
        <v>75</v>
      </c>
      <c r="L22" s="4">
        <v>80</v>
      </c>
      <c r="M22" s="4">
        <v>65</v>
      </c>
      <c r="N22" s="4">
        <v>95</v>
      </c>
      <c r="O22" s="4">
        <v>95</v>
      </c>
      <c r="P22" s="4">
        <v>85</v>
      </c>
      <c r="Q22" s="4">
        <v>125</v>
      </c>
      <c r="R22" s="4">
        <v>125</v>
      </c>
      <c r="S22" s="71">
        <v>155</v>
      </c>
    </row>
    <row r="23" spans="1:19">
      <c r="A23" s="5" t="s">
        <v>27</v>
      </c>
      <c r="B23" s="5" t="s">
        <v>1096</v>
      </c>
      <c r="C23" s="67">
        <v>1066455</v>
      </c>
      <c r="D23" s="70" t="s">
        <v>25</v>
      </c>
      <c r="E23" s="5" t="s">
        <v>1106</v>
      </c>
      <c r="F23" s="5" t="s">
        <v>1147</v>
      </c>
      <c r="G23" s="5" t="s">
        <v>1105</v>
      </c>
      <c r="H23" s="174">
        <f t="shared" si="0"/>
        <v>0.12</v>
      </c>
      <c r="I23" s="173">
        <f t="shared" si="1"/>
        <v>3</v>
      </c>
      <c r="J23" s="4">
        <v>28</v>
      </c>
      <c r="K23" s="4">
        <v>25</v>
      </c>
      <c r="L23" s="4">
        <v>35</v>
      </c>
      <c r="M23" s="4">
        <v>30</v>
      </c>
      <c r="N23" s="4">
        <v>35</v>
      </c>
      <c r="O23" s="4">
        <v>35</v>
      </c>
      <c r="P23" s="4">
        <v>38</v>
      </c>
      <c r="Q23" s="4">
        <v>32</v>
      </c>
      <c r="R23" s="4">
        <v>32</v>
      </c>
      <c r="S23" s="71">
        <v>40</v>
      </c>
    </row>
    <row r="24" spans="1:19">
      <c r="A24" s="5" t="s">
        <v>27</v>
      </c>
      <c r="B24" s="5" t="s">
        <v>1096</v>
      </c>
      <c r="C24" s="67">
        <v>1066562</v>
      </c>
      <c r="D24" s="70" t="s">
        <v>25</v>
      </c>
      <c r="E24" s="5" t="s">
        <v>1104</v>
      </c>
      <c r="F24" s="5" t="s">
        <v>1148</v>
      </c>
      <c r="G24" s="5" t="s">
        <v>1103</v>
      </c>
      <c r="H24" s="149">
        <f t="shared" si="0"/>
        <v>-8.3333333333333329E-2</v>
      </c>
      <c r="I24" s="150">
        <f t="shared" si="1"/>
        <v>-5</v>
      </c>
      <c r="J24" s="4">
        <v>55</v>
      </c>
      <c r="K24" s="4">
        <v>60</v>
      </c>
      <c r="L24" s="4">
        <v>68</v>
      </c>
      <c r="M24" s="4">
        <v>79</v>
      </c>
      <c r="N24" s="4">
        <v>70</v>
      </c>
      <c r="O24" s="4">
        <v>69</v>
      </c>
      <c r="P24" s="4">
        <v>80</v>
      </c>
      <c r="Q24" s="4">
        <v>63</v>
      </c>
      <c r="R24" s="4">
        <v>60</v>
      </c>
      <c r="S24" s="71">
        <v>70</v>
      </c>
    </row>
    <row r="25" spans="1:19">
      <c r="A25" s="5" t="s">
        <v>27</v>
      </c>
      <c r="B25" s="5" t="s">
        <v>1096</v>
      </c>
      <c r="C25" s="67">
        <v>1104215</v>
      </c>
      <c r="D25" s="70" t="s">
        <v>242</v>
      </c>
      <c r="E25" s="5" t="s">
        <v>1096</v>
      </c>
      <c r="F25" s="5" t="s">
        <v>1148</v>
      </c>
      <c r="G25" s="5" t="s">
        <v>1102</v>
      </c>
      <c r="H25" s="149">
        <f t="shared" si="0"/>
        <v>-8.3333333333333329E-2</v>
      </c>
      <c r="I25" s="150">
        <f t="shared" si="1"/>
        <v>-2</v>
      </c>
      <c r="J25" s="4">
        <v>22</v>
      </c>
      <c r="K25" s="4">
        <v>24</v>
      </c>
      <c r="L25" s="4">
        <v>28</v>
      </c>
      <c r="M25" s="4">
        <v>34</v>
      </c>
      <c r="N25" s="4">
        <v>30</v>
      </c>
      <c r="O25" s="4">
        <v>39</v>
      </c>
      <c r="P25" s="4">
        <v>35</v>
      </c>
      <c r="Q25" s="4">
        <v>35</v>
      </c>
      <c r="R25" s="4">
        <v>45</v>
      </c>
      <c r="S25" s="71">
        <v>45</v>
      </c>
    </row>
    <row r="26" spans="1:19">
      <c r="A26" s="5" t="s">
        <v>27</v>
      </c>
      <c r="B26" s="5" t="s">
        <v>1096</v>
      </c>
      <c r="C26" s="67">
        <v>1117811</v>
      </c>
      <c r="D26" s="70" t="s">
        <v>1101</v>
      </c>
      <c r="E26" s="5" t="s">
        <v>1096</v>
      </c>
      <c r="F26" s="5" t="s">
        <v>1148</v>
      </c>
      <c r="G26" s="5" t="s">
        <v>1100</v>
      </c>
      <c r="H26" s="17">
        <f t="shared" si="0"/>
        <v>7.1428571428571425E-2</v>
      </c>
      <c r="I26" s="5">
        <f t="shared" si="1"/>
        <v>5</v>
      </c>
      <c r="J26" s="4">
        <v>75</v>
      </c>
      <c r="K26" s="4">
        <v>70</v>
      </c>
      <c r="L26" s="4">
        <v>60</v>
      </c>
      <c r="M26" s="4">
        <v>60</v>
      </c>
      <c r="N26" s="4">
        <v>58</v>
      </c>
      <c r="O26" s="4">
        <v>70</v>
      </c>
      <c r="P26" s="4">
        <v>35</v>
      </c>
      <c r="Q26" s="4">
        <v>50</v>
      </c>
      <c r="R26" s="4">
        <v>48</v>
      </c>
      <c r="S26" s="71">
        <v>40</v>
      </c>
    </row>
    <row r="27" spans="1:19">
      <c r="A27" s="5" t="s">
        <v>27</v>
      </c>
      <c r="B27" s="5" t="s">
        <v>1096</v>
      </c>
      <c r="C27" s="67">
        <v>1147297</v>
      </c>
      <c r="D27" s="70" t="s">
        <v>1099</v>
      </c>
      <c r="E27" s="5" t="s">
        <v>1098</v>
      </c>
      <c r="F27" s="5" t="s">
        <v>1148</v>
      </c>
      <c r="G27" s="5" t="s">
        <v>1097</v>
      </c>
      <c r="H27" s="17">
        <f t="shared" si="0"/>
        <v>4.4776119402985072E-2</v>
      </c>
      <c r="I27" s="5">
        <f t="shared" si="1"/>
        <v>3</v>
      </c>
      <c r="J27" s="4">
        <v>70</v>
      </c>
      <c r="K27" s="4">
        <v>67</v>
      </c>
      <c r="L27" s="4">
        <v>75</v>
      </c>
      <c r="M27" s="4">
        <v>33</v>
      </c>
      <c r="N27" s="4">
        <v>45</v>
      </c>
      <c r="O27" s="4">
        <v>41</v>
      </c>
      <c r="P27" s="4">
        <v>40</v>
      </c>
      <c r="Q27" s="4">
        <v>32</v>
      </c>
      <c r="R27" s="4">
        <v>31</v>
      </c>
      <c r="S27" s="71">
        <v>25</v>
      </c>
    </row>
    <row r="28" spans="1:19">
      <c r="A28" s="5" t="s">
        <v>27</v>
      </c>
      <c r="B28" s="5" t="s">
        <v>1096</v>
      </c>
      <c r="C28" s="67">
        <v>1061290</v>
      </c>
      <c r="D28" s="70" t="s">
        <v>1095</v>
      </c>
      <c r="E28" s="5" t="s">
        <v>1094</v>
      </c>
      <c r="F28" s="5" t="s">
        <v>1148</v>
      </c>
      <c r="G28" s="5" t="s">
        <v>1093</v>
      </c>
      <c r="H28" s="17">
        <f t="shared" si="0"/>
        <v>5.6603773584905662E-2</v>
      </c>
      <c r="I28" s="5">
        <f t="shared" si="1"/>
        <v>9</v>
      </c>
      <c r="J28" s="54">
        <v>168</v>
      </c>
      <c r="K28" s="54">
        <v>159</v>
      </c>
      <c r="L28" s="54">
        <v>147</v>
      </c>
      <c r="M28" s="54">
        <v>112</v>
      </c>
      <c r="N28" s="54">
        <v>92</v>
      </c>
      <c r="O28" s="54">
        <v>120</v>
      </c>
      <c r="P28" s="54">
        <v>125</v>
      </c>
      <c r="Q28" s="54">
        <v>120</v>
      </c>
      <c r="R28" s="54">
        <v>100</v>
      </c>
      <c r="S28" s="145">
        <v>125</v>
      </c>
    </row>
    <row r="29" spans="1:19" ht="15" thickBot="1">
      <c r="D29" s="72" t="str">
        <f>"Church Count: "&amp;COUNTA(D5:D28)</f>
        <v>Church Count: 24</v>
      </c>
      <c r="E29" s="49"/>
      <c r="F29" s="49"/>
      <c r="G29" s="151" t="s">
        <v>1207</v>
      </c>
      <c r="H29" s="49"/>
      <c r="I29" s="49"/>
      <c r="J29" s="197">
        <f t="shared" ref="J29:S29" si="2">SUM(J5:J28)</f>
        <v>2681</v>
      </c>
      <c r="K29" s="197">
        <f t="shared" si="2"/>
        <v>2915</v>
      </c>
      <c r="L29" s="197">
        <f t="shared" si="2"/>
        <v>2699</v>
      </c>
      <c r="M29" s="197">
        <f t="shared" si="2"/>
        <v>2830</v>
      </c>
      <c r="N29" s="197">
        <f t="shared" si="2"/>
        <v>2728</v>
      </c>
      <c r="O29" s="197">
        <f t="shared" si="2"/>
        <v>2865</v>
      </c>
      <c r="P29" s="197">
        <f t="shared" si="2"/>
        <v>2535</v>
      </c>
      <c r="Q29" s="197">
        <f t="shared" si="2"/>
        <v>2720</v>
      </c>
      <c r="R29" s="197">
        <f t="shared" si="2"/>
        <v>2677</v>
      </c>
      <c r="S29" s="198">
        <f t="shared" si="2"/>
        <v>2700</v>
      </c>
    </row>
    <row r="30" spans="1:19" ht="15" thickTop="1">
      <c r="D30" s="152" t="s">
        <v>1180</v>
      </c>
      <c r="E30" s="49"/>
      <c r="F30" s="49"/>
      <c r="G30" s="151" t="s">
        <v>1208</v>
      </c>
      <c r="H30" s="49"/>
      <c r="I30" s="49"/>
      <c r="J30" s="205">
        <f>J29-K29</f>
        <v>-234</v>
      </c>
      <c r="K30" s="49"/>
      <c r="L30" s="49"/>
      <c r="M30" s="49"/>
      <c r="N30" s="49"/>
      <c r="O30" s="49"/>
      <c r="P30" s="49"/>
      <c r="Q30" s="49"/>
      <c r="R30" s="49"/>
      <c r="S30" s="50"/>
    </row>
    <row r="31" spans="1:19">
      <c r="D31" s="153" t="s">
        <v>1181</v>
      </c>
      <c r="E31" s="146"/>
      <c r="F31" s="146"/>
      <c r="G31" s="151" t="s">
        <v>1209</v>
      </c>
      <c r="H31" s="49"/>
      <c r="I31" s="49"/>
      <c r="J31" s="206">
        <f>(J29-K29)/ABS(K29)</f>
        <v>-8.0274442538593477E-2</v>
      </c>
      <c r="K31" s="49"/>
      <c r="L31" s="49"/>
      <c r="M31" s="49"/>
      <c r="N31" s="49"/>
      <c r="O31" s="49"/>
      <c r="P31" s="49"/>
      <c r="Q31" s="49"/>
      <c r="R31" s="49"/>
      <c r="S31" s="50"/>
    </row>
    <row r="32" spans="1:19">
      <c r="D32" s="170" t="s">
        <v>1210</v>
      </c>
      <c r="E32" s="49"/>
      <c r="F32" s="49"/>
      <c r="G32" s="218" t="s">
        <v>1219</v>
      </c>
      <c r="H32" s="49"/>
      <c r="I32" s="49"/>
      <c r="J32" s="221">
        <f>J29-S29</f>
        <v>-19</v>
      </c>
      <c r="K32" s="49"/>
      <c r="L32" s="49"/>
      <c r="M32" s="49"/>
      <c r="N32" s="49"/>
      <c r="O32" s="49"/>
      <c r="P32" s="49"/>
      <c r="Q32" s="49"/>
      <c r="R32" s="49"/>
      <c r="S32" s="50"/>
    </row>
    <row r="33" spans="4:19">
      <c r="D33" s="154" t="s">
        <v>1182</v>
      </c>
      <c r="E33" s="51"/>
      <c r="F33" s="51"/>
      <c r="G33" s="186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2"/>
    </row>
  </sheetData>
  <mergeCells count="1">
    <mergeCell ref="D1:S1"/>
  </mergeCells>
  <printOptions horizontalCentered="1"/>
  <pageMargins left="0.7" right="0.7" top="0.75" bottom="0.75" header="0.3" footer="0.3"/>
  <pageSetup scale="72" orientation="landscape" cellComments="atEnd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Cover</vt:lpstr>
      <vt:lpstr>Sections Per Region</vt:lpstr>
      <vt:lpstr>Stats</vt:lpstr>
      <vt:lpstr>Top 25</vt:lpstr>
      <vt:lpstr>Abilene</vt:lpstr>
      <vt:lpstr>Brazos Valley</vt:lpstr>
      <vt:lpstr>Corsicana</vt:lpstr>
      <vt:lpstr>Cross Timbers</vt:lpstr>
      <vt:lpstr>Denton</vt:lpstr>
      <vt:lpstr>Greenville</vt:lpstr>
      <vt:lpstr>Longview</vt:lpstr>
      <vt:lpstr>Lufkin</vt:lpstr>
      <vt:lpstr>Mesquite</vt:lpstr>
      <vt:lpstr>Mid Cities</vt:lpstr>
      <vt:lpstr>Nacoqdoches</vt:lpstr>
      <vt:lpstr>North Austin</vt:lpstr>
      <vt:lpstr>North Dallas</vt:lpstr>
      <vt:lpstr>North East Fort Worth</vt:lpstr>
      <vt:lpstr>North West Forth Worth</vt:lpstr>
      <vt:lpstr>Plano</vt:lpstr>
      <vt:lpstr>Red River</vt:lpstr>
      <vt:lpstr>Rockwall</vt:lpstr>
      <vt:lpstr>San Angelo</vt:lpstr>
      <vt:lpstr>South Austin</vt:lpstr>
      <vt:lpstr>South Dallas</vt:lpstr>
      <vt:lpstr>South Fort Worth</vt:lpstr>
      <vt:lpstr>Texarkana</vt:lpstr>
      <vt:lpstr>Trinity Valley</vt:lpstr>
      <vt:lpstr>Tyler</vt:lpstr>
      <vt:lpstr>Waco</vt:lpstr>
      <vt:lpstr>Waxahachie</vt:lpstr>
      <vt:lpstr>Wichita Falls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J. D. Bayes</dc:creator>
  <cp:lastModifiedBy/>
  <cp:lastPrinted>2014-11-15T19:29:46Z</cp:lastPrinted>
  <dcterms:created xsi:type="dcterms:W3CDTF">2014-10-15T22:02:17Z</dcterms:created>
  <dcterms:modified xsi:type="dcterms:W3CDTF">2014-11-17T06:09:57Z</dcterms:modified>
</cp:coreProperties>
</file>